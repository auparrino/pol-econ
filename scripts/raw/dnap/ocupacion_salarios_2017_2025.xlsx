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NCFP\EJEC\CONSOL\INFORMACION PARA INTERNET\PUBLICACIONES VIGENTES\PLANTILLA_WEB (VIGENTE)\Ocupación y Salarios\"/>
    </mc:Choice>
  </mc:AlternateContent>
  <xr:revisionPtr revIDLastSave="0" documentId="13_ncr:1_{DB2FF3BF-44BC-4CE0-93D0-AF0518BC49D7}" xr6:coauthVersionLast="47" xr6:coauthVersionMax="47" xr10:uidLastSave="{00000000-0000-0000-0000-000000000000}"/>
  <bookViews>
    <workbookView xWindow="-120" yWindow="-120" windowWidth="29040" windowHeight="15840" tabRatio="932" activeTab="8" xr2:uid="{00000000-000D-0000-FFFF-FFFF00000000}"/>
  </bookViews>
  <sheets>
    <sheet name="2017" sheetId="36" r:id="rId1"/>
    <sheet name="2018" sheetId="38" r:id="rId2"/>
    <sheet name="2019" sheetId="39" r:id="rId3"/>
    <sheet name="2020" sheetId="37" r:id="rId4"/>
    <sheet name="2021" sheetId="41" r:id="rId5"/>
    <sheet name="2022" sheetId="42" r:id="rId6"/>
    <sheet name="2023" sheetId="43" r:id="rId7"/>
    <sheet name="2024" sheetId="44" r:id="rId8"/>
    <sheet name="2025" sheetId="45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45" l="1"/>
  <c r="E30" i="45"/>
  <c r="E29" i="45"/>
  <c r="G28" i="45"/>
  <c r="E28" i="45"/>
  <c r="G25" i="45"/>
  <c r="G22" i="45"/>
  <c r="E20" i="45"/>
  <c r="E19" i="45"/>
  <c r="G18" i="45"/>
  <c r="E18" i="45"/>
  <c r="G17" i="45"/>
  <c r="G15" i="45"/>
  <c r="E14" i="45"/>
  <c r="E12" i="45"/>
  <c r="G10" i="45"/>
  <c r="E10" i="45"/>
  <c r="G9" i="45"/>
  <c r="G8" i="45"/>
  <c r="C31" i="39"/>
  <c r="C31" i="38"/>
  <c r="G12" i="45" l="1"/>
  <c r="G20" i="45"/>
  <c r="G29" i="45"/>
  <c r="E15" i="45"/>
  <c r="E8" i="45"/>
  <c r="E11" i="45"/>
  <c r="G16" i="45"/>
  <c r="G13" i="45"/>
  <c r="G30" i="45"/>
  <c r="E22" i="45"/>
  <c r="E23" i="45"/>
  <c r="E7" i="45"/>
  <c r="F31" i="45"/>
  <c r="E24" i="45"/>
  <c r="E9" i="45"/>
  <c r="E16" i="45"/>
  <c r="E25" i="45"/>
  <c r="G14" i="45"/>
  <c r="E27" i="45"/>
  <c r="E26" i="45"/>
  <c r="G27" i="45"/>
  <c r="G19" i="45"/>
  <c r="G11" i="45"/>
  <c r="E13" i="45"/>
  <c r="G7" i="45"/>
  <c r="G26" i="45"/>
  <c r="G24" i="45"/>
  <c r="C31" i="45" l="1"/>
  <c r="E17" i="44"/>
  <c r="G17" i="44"/>
  <c r="E17" i="45" l="1"/>
  <c r="D31" i="39"/>
  <c r="D31" i="38"/>
  <c r="E21" i="45" l="1"/>
  <c r="G21" i="45"/>
  <c r="D31" i="45"/>
  <c r="E31" i="38"/>
  <c r="E31" i="39"/>
  <c r="G31" i="45" l="1"/>
  <c r="E31" i="45"/>
  <c r="F31" i="37"/>
  <c r="F31" i="42"/>
  <c r="F31" i="38"/>
  <c r="G31" i="38" s="1"/>
  <c r="F31" i="43"/>
  <c r="F31" i="39"/>
  <c r="G31" i="39" s="1"/>
  <c r="F31" i="41"/>
  <c r="F31" i="44"/>
  <c r="F31" i="36"/>
  <c r="D31" i="44"/>
  <c r="C31" i="44"/>
  <c r="G30" i="44"/>
  <c r="E30" i="44"/>
  <c r="G29" i="44"/>
  <c r="E29" i="44"/>
  <c r="G28" i="44"/>
  <c r="E28" i="44"/>
  <c r="G27" i="44"/>
  <c r="E27" i="44"/>
  <c r="G26" i="44"/>
  <c r="E26" i="44"/>
  <c r="G25" i="44"/>
  <c r="E25" i="44"/>
  <c r="G24" i="44"/>
  <c r="E24" i="44"/>
  <c r="G23" i="44"/>
  <c r="E23" i="44"/>
  <c r="G22" i="44"/>
  <c r="E22" i="44"/>
  <c r="G21" i="44"/>
  <c r="E21" i="44"/>
  <c r="G20" i="44"/>
  <c r="E20" i="44"/>
  <c r="G19" i="44"/>
  <c r="E19" i="44"/>
  <c r="G18" i="44"/>
  <c r="E18" i="44"/>
  <c r="G16" i="44"/>
  <c r="E16" i="44"/>
  <c r="G15" i="44"/>
  <c r="E15" i="44"/>
  <c r="G14" i="44"/>
  <c r="E14" i="44"/>
  <c r="G13" i="44"/>
  <c r="E13" i="44"/>
  <c r="G12" i="44"/>
  <c r="E12" i="44"/>
  <c r="G11" i="44"/>
  <c r="E11" i="44"/>
  <c r="G10" i="44"/>
  <c r="E10" i="44"/>
  <c r="G9" i="44"/>
  <c r="E9" i="44"/>
  <c r="G8" i="44"/>
  <c r="E8" i="44"/>
  <c r="G7" i="44"/>
  <c r="E7" i="44"/>
  <c r="G31" i="44" l="1"/>
  <c r="E31" i="44"/>
  <c r="D31" i="43"/>
  <c r="G31" i="43" s="1"/>
  <c r="C31" i="43"/>
  <c r="G30" i="43"/>
  <c r="E30" i="43"/>
  <c r="G29" i="43"/>
  <c r="E29" i="43"/>
  <c r="G28" i="43"/>
  <c r="E28" i="43"/>
  <c r="G27" i="43"/>
  <c r="E27" i="43"/>
  <c r="G26" i="43"/>
  <c r="E26" i="43"/>
  <c r="G25" i="43"/>
  <c r="E25" i="43"/>
  <c r="G24" i="43"/>
  <c r="E24" i="43"/>
  <c r="G23" i="43"/>
  <c r="E23" i="43"/>
  <c r="G22" i="43"/>
  <c r="E22" i="43"/>
  <c r="G21" i="43"/>
  <c r="E21" i="43"/>
  <c r="G20" i="43"/>
  <c r="E20" i="43"/>
  <c r="G19" i="43"/>
  <c r="E19" i="43"/>
  <c r="G18" i="43"/>
  <c r="E18" i="43"/>
  <c r="G17" i="43"/>
  <c r="E17" i="43"/>
  <c r="G16" i="43"/>
  <c r="E16" i="43"/>
  <c r="G15" i="43"/>
  <c r="E15" i="43"/>
  <c r="G14" i="43"/>
  <c r="E14" i="43"/>
  <c r="G13" i="43"/>
  <c r="E13" i="43"/>
  <c r="G12" i="43"/>
  <c r="E12" i="43"/>
  <c r="G11" i="43"/>
  <c r="E11" i="43"/>
  <c r="G10" i="43"/>
  <c r="E10" i="43"/>
  <c r="G9" i="43"/>
  <c r="E9" i="43"/>
  <c r="G8" i="43"/>
  <c r="E8" i="43"/>
  <c r="G7" i="43"/>
  <c r="E7" i="43"/>
  <c r="E31" i="43" l="1"/>
  <c r="E25" i="41"/>
  <c r="G8" i="37"/>
  <c r="G8" i="42"/>
  <c r="G9" i="42"/>
  <c r="G10" i="36"/>
  <c r="G10" i="37"/>
  <c r="G10" i="41"/>
  <c r="G11" i="36"/>
  <c r="G12" i="36"/>
  <c r="G12" i="37"/>
  <c r="G12" i="42"/>
  <c r="G13" i="36"/>
  <c r="G13" i="37"/>
  <c r="G13" i="41"/>
  <c r="G14" i="37"/>
  <c r="G15" i="36"/>
  <c r="G15" i="37"/>
  <c r="G15" i="41"/>
  <c r="G16" i="37"/>
  <c r="G17" i="36"/>
  <c r="G17" i="37"/>
  <c r="G18" i="36"/>
  <c r="G18" i="37"/>
  <c r="G19" i="36"/>
  <c r="G19" i="37"/>
  <c r="G19" i="42"/>
  <c r="G20" i="36"/>
  <c r="G20" i="37"/>
  <c r="G20" i="41"/>
  <c r="G20" i="42"/>
  <c r="G21" i="42"/>
  <c r="G22" i="36"/>
  <c r="G22" i="37"/>
  <c r="G22" i="41"/>
  <c r="G22" i="42"/>
  <c r="G23" i="36"/>
  <c r="G23" i="37"/>
  <c r="G23" i="41"/>
  <c r="G24" i="37"/>
  <c r="G24" i="42"/>
  <c r="G25" i="36"/>
  <c r="G25" i="41"/>
  <c r="G25" i="42"/>
  <c r="G26" i="36"/>
  <c r="G26" i="37"/>
  <c r="G26" i="41"/>
  <c r="G27" i="36"/>
  <c r="G27" i="37"/>
  <c r="G27" i="41"/>
  <c r="G27" i="42"/>
  <c r="G28" i="36"/>
  <c r="G28" i="37"/>
  <c r="G28" i="41"/>
  <c r="G28" i="42"/>
  <c r="G29" i="36"/>
  <c r="G29" i="41"/>
  <c r="G29" i="42"/>
  <c r="G30" i="36"/>
  <c r="G30" i="41"/>
  <c r="G7" i="37"/>
  <c r="G7" i="41"/>
  <c r="G7" i="42"/>
  <c r="E17" i="42"/>
  <c r="E15" i="42"/>
  <c r="E14" i="42"/>
  <c r="E13" i="42"/>
  <c r="E12" i="42"/>
  <c r="E11" i="42"/>
  <c r="E10" i="42"/>
  <c r="E8" i="42"/>
  <c r="E7" i="42"/>
  <c r="E18" i="42"/>
  <c r="E19" i="42"/>
  <c r="E20" i="42"/>
  <c r="E21" i="42"/>
  <c r="E22" i="42"/>
  <c r="E30" i="42"/>
  <c r="E29" i="42"/>
  <c r="E28" i="42"/>
  <c r="E27" i="42"/>
  <c r="E26" i="42"/>
  <c r="E25" i="42"/>
  <c r="E24" i="42"/>
  <c r="E23" i="42"/>
  <c r="D31" i="42"/>
  <c r="G17" i="42"/>
  <c r="E16" i="42"/>
  <c r="G15" i="42"/>
  <c r="G14" i="42"/>
  <c r="G13" i="42"/>
  <c r="G11" i="42"/>
  <c r="G10" i="42"/>
  <c r="E9" i="42"/>
  <c r="D31" i="41"/>
  <c r="G31" i="41" s="1"/>
  <c r="E30" i="41"/>
  <c r="E29" i="41"/>
  <c r="E28" i="41"/>
  <c r="E27" i="41"/>
  <c r="E26" i="41"/>
  <c r="G24" i="41"/>
  <c r="E24" i="41"/>
  <c r="E23" i="41"/>
  <c r="E22" i="41"/>
  <c r="G21" i="41"/>
  <c r="E21" i="41"/>
  <c r="E20" i="41"/>
  <c r="E19" i="41"/>
  <c r="G18" i="41"/>
  <c r="E18" i="41"/>
  <c r="E17" i="41"/>
  <c r="G16" i="41"/>
  <c r="E16" i="41"/>
  <c r="E15" i="41"/>
  <c r="G14" i="41"/>
  <c r="E14" i="41"/>
  <c r="E13" i="41"/>
  <c r="G12" i="41"/>
  <c r="E12" i="41"/>
  <c r="E11" i="41"/>
  <c r="E10" i="41"/>
  <c r="G9" i="41"/>
  <c r="E9" i="41"/>
  <c r="E8" i="41"/>
  <c r="E7" i="41"/>
  <c r="D31" i="37"/>
  <c r="G31" i="37" s="1"/>
  <c r="C31" i="37"/>
  <c r="G30" i="37"/>
  <c r="E30" i="37"/>
  <c r="G29" i="37"/>
  <c r="E29" i="37"/>
  <c r="E28" i="37"/>
  <c r="E27" i="37"/>
  <c r="E26" i="37"/>
  <c r="G25" i="37"/>
  <c r="E25" i="37"/>
  <c r="E24" i="37"/>
  <c r="E23" i="37"/>
  <c r="E22" i="37"/>
  <c r="G21" i="37"/>
  <c r="E21" i="37"/>
  <c r="E20" i="37"/>
  <c r="E19" i="37"/>
  <c r="E18" i="37"/>
  <c r="E17" i="37"/>
  <c r="E16" i="37"/>
  <c r="E15" i="37"/>
  <c r="E14" i="37"/>
  <c r="E13" i="37"/>
  <c r="E12" i="37"/>
  <c r="G11" i="37"/>
  <c r="E11" i="37"/>
  <c r="E10" i="37"/>
  <c r="G9" i="37"/>
  <c r="E9" i="37"/>
  <c r="E8" i="37"/>
  <c r="E7" i="37"/>
  <c r="E30" i="36"/>
  <c r="E29" i="36"/>
  <c r="E28" i="36"/>
  <c r="E27" i="36"/>
  <c r="E26" i="36"/>
  <c r="E25" i="36"/>
  <c r="G24" i="36"/>
  <c r="E23" i="36"/>
  <c r="E22" i="36"/>
  <c r="G21" i="36"/>
  <c r="E21" i="36"/>
  <c r="E20" i="36"/>
  <c r="E19" i="36"/>
  <c r="E18" i="36"/>
  <c r="E17" i="36"/>
  <c r="E16" i="36"/>
  <c r="E15" i="36"/>
  <c r="G14" i="36"/>
  <c r="E14" i="36"/>
  <c r="E13" i="36"/>
  <c r="E12" i="36"/>
  <c r="E11" i="36"/>
  <c r="E10" i="36"/>
  <c r="G9" i="36"/>
  <c r="E9" i="36"/>
  <c r="G8" i="36"/>
  <c r="E7" i="36"/>
  <c r="E8" i="36"/>
  <c r="C31" i="36"/>
  <c r="E24" i="36"/>
  <c r="G16" i="36"/>
  <c r="D31" i="36"/>
  <c r="G11" i="41"/>
  <c r="G19" i="41"/>
  <c r="G18" i="42"/>
  <c r="G8" i="41"/>
  <c r="C31" i="42"/>
  <c r="G16" i="42"/>
  <c r="G26" i="42"/>
  <c r="G30" i="42"/>
  <c r="G17" i="41"/>
  <c r="G23" i="42"/>
  <c r="G7" i="36"/>
  <c r="E31" i="36" l="1"/>
  <c r="E31" i="37"/>
  <c r="G31" i="36"/>
  <c r="E31" i="42"/>
  <c r="G31" i="42"/>
  <c r="C31" i="41"/>
  <c r="E31" i="41" s="1"/>
</calcChain>
</file>

<file path=xl/sharedStrings.xml><?xml version="1.0" encoding="utf-8"?>
<sst xmlns="http://schemas.openxmlformats.org/spreadsheetml/2006/main" count="343" uniqueCount="53">
  <si>
    <t>PLANTA
OCUPADA</t>
  </si>
  <si>
    <t>EMPLEADOS
CADA MIL
 HABITANTES</t>
  </si>
  <si>
    <t>G.C.B.A.</t>
  </si>
  <si>
    <t>CATAMARCA</t>
  </si>
  <si>
    <t>CORDOBA</t>
  </si>
  <si>
    <t xml:space="preserve">CORRIENTES </t>
  </si>
  <si>
    <t>CHACO</t>
  </si>
  <si>
    <t>CHUBUT</t>
  </si>
  <si>
    <t>ENTRE RIOS</t>
  </si>
  <si>
    <t>FORMOSA</t>
  </si>
  <si>
    <t>JUJUY</t>
  </si>
  <si>
    <t>LA RIOJA</t>
  </si>
  <si>
    <t>MENDOZA</t>
  </si>
  <si>
    <t>MISIONES</t>
  </si>
  <si>
    <t>NEUQUEN</t>
  </si>
  <si>
    <t>RIO NEGRO</t>
  </si>
  <si>
    <t>SALTA</t>
  </si>
  <si>
    <t>SAN JUAN</t>
  </si>
  <si>
    <t>SANTA CRUZ</t>
  </si>
  <si>
    <t>SANTA FE</t>
  </si>
  <si>
    <t>TUCUMAN</t>
  </si>
  <si>
    <t>TOTAL</t>
  </si>
  <si>
    <t>JURISDICCIONES</t>
  </si>
  <si>
    <t xml:space="preserve">BUENOS AIRES </t>
  </si>
  <si>
    <t>AÑO 2017</t>
  </si>
  <si>
    <t>AÑO 2020</t>
  </si>
  <si>
    <t xml:space="preserve">SALTA </t>
  </si>
  <si>
    <t>AÑO 2018</t>
  </si>
  <si>
    <t>AÑO 2019</t>
  </si>
  <si>
    <t>AÑO 2021</t>
  </si>
  <si>
    <t>AÑO 2022</t>
  </si>
  <si>
    <t>AÑO 2023</t>
  </si>
  <si>
    <t>SUBSECRETARÍA DE COORDINACIÓN FISCAL PROVINCIAL</t>
  </si>
  <si>
    <t>TIERRA DEL FUEGO</t>
  </si>
  <si>
    <t>SANTIAGO DEL ESTERO</t>
  </si>
  <si>
    <r>
      <t xml:space="preserve">GASTO MEDIO
 MENSUAL
</t>
    </r>
    <r>
      <rPr>
        <b/>
        <sz val="10"/>
        <color theme="0"/>
        <rFont val="Roboto"/>
      </rPr>
      <t xml:space="preserve"> - en $ -</t>
    </r>
  </si>
  <si>
    <r>
      <t xml:space="preserve">GASTO EN
 PERSONAL
</t>
    </r>
    <r>
      <rPr>
        <b/>
        <sz val="10"/>
        <color theme="0"/>
        <rFont val="Roboto"/>
      </rPr>
      <t>- en miles de $ -</t>
    </r>
  </si>
  <si>
    <t>AÑO 2024</t>
  </si>
  <si>
    <t xml:space="preserve">G.C.B.A. </t>
  </si>
  <si>
    <t>AÑO 2025</t>
  </si>
  <si>
    <t>ADMINISTRACION PÚBLICA NO FINANCIERA</t>
  </si>
  <si>
    <t>OCUPACION Y GASTO SALARIAL DE PROVINCIAS Y CIUDAD AUTÓNOMA DE BUENOS AIRES</t>
  </si>
  <si>
    <r>
      <t>HABITANTES</t>
    </r>
    <r>
      <rPr>
        <b/>
        <vertAlign val="superscript"/>
        <sz val="11"/>
        <color theme="0"/>
        <rFont val="Roboto"/>
      </rPr>
      <t>(1)</t>
    </r>
  </si>
  <si>
    <t>(1): Proyección INDEC 2010-2040</t>
  </si>
  <si>
    <t>(2): La información de la planta ocupada corresponde al dato del Presupuesto de la Provincia.</t>
  </si>
  <si>
    <r>
      <t>SAN LUIS</t>
    </r>
    <r>
      <rPr>
        <b/>
        <vertAlign val="superscript"/>
        <sz val="12"/>
        <rFont val="Roboto"/>
      </rPr>
      <t>(2)</t>
    </r>
  </si>
  <si>
    <r>
      <t>LA PAMPA</t>
    </r>
    <r>
      <rPr>
        <b/>
        <vertAlign val="superscript"/>
        <sz val="12"/>
        <rFont val="Roboto"/>
      </rPr>
      <t>(2)</t>
    </r>
  </si>
  <si>
    <r>
      <t>CATAMARCA</t>
    </r>
    <r>
      <rPr>
        <b/>
        <vertAlign val="superscript"/>
        <sz val="12"/>
        <rFont val="Roboto"/>
      </rPr>
      <t>(2)</t>
    </r>
  </si>
  <si>
    <r>
      <t>SALTA</t>
    </r>
    <r>
      <rPr>
        <b/>
        <vertAlign val="superscript"/>
        <sz val="12"/>
        <rFont val="Roboto"/>
      </rPr>
      <t>(2)</t>
    </r>
  </si>
  <si>
    <r>
      <t>SALTA</t>
    </r>
    <r>
      <rPr>
        <b/>
        <vertAlign val="superscript"/>
        <sz val="12"/>
        <rFont val="Roboto"/>
      </rPr>
      <t>(3)</t>
    </r>
  </si>
  <si>
    <t>(3): Información de cargos ocupados no validada por la jurisdicción.</t>
  </si>
  <si>
    <r>
      <rPr>
        <b/>
        <sz val="10"/>
        <color theme="1"/>
        <rFont val="Roboto"/>
      </rPr>
      <t>Fuente</t>
    </r>
    <r>
      <rPr>
        <sz val="10"/>
        <color theme="1"/>
        <rFont val="Roboto"/>
      </rPr>
      <t>: Elaborado en base a datos informados por las jurisdicciones e INDEC.</t>
    </r>
  </si>
  <si>
    <r>
      <t>Fuente</t>
    </r>
    <r>
      <rPr>
        <sz val="10"/>
        <color theme="1"/>
        <rFont val="Roboto"/>
      </rPr>
      <t>: Elaborado en base a datos informados por las jurisdicciones e INDEC.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</si>
</sst>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#,##0.0_);\(#,##0.0\)"/>
    <numFmt numFmtId="166" formatCode="0_)"/>
    <numFmt numFmtId="167" formatCode="#,##0.0"/>
    <numFmt numFmtId="168" formatCode="0.0%"/>
    <numFmt numFmtId="169" formatCode="#,##0.0\ \ \ \ \ "/>
  </numFmts>
  <fonts count="1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Roboto"/>
    </font>
    <font>
      <b/>
      <sz val="10"/>
      <name val="Roboto"/>
    </font>
    <font>
      <b/>
      <sz val="11"/>
      <name val="Roboto"/>
    </font>
    <font>
      <b/>
      <sz val="12"/>
      <name val="Roboto"/>
    </font>
    <font>
      <sz val="12"/>
      <name val="Roboto"/>
    </font>
    <font>
      <sz val="11"/>
      <name val="Roboto"/>
    </font>
    <font>
      <b/>
      <sz val="11"/>
      <color theme="0"/>
      <name val="Roboto"/>
    </font>
    <font>
      <b/>
      <sz val="12"/>
      <color theme="0"/>
      <name val="Roboto"/>
    </font>
    <font>
      <b/>
      <vertAlign val="superscript"/>
      <sz val="12"/>
      <name val="Roboto"/>
    </font>
    <font>
      <b/>
      <sz val="10"/>
      <color theme="0"/>
      <name val="Roboto"/>
    </font>
    <font>
      <b/>
      <vertAlign val="superscript"/>
      <sz val="11"/>
      <color theme="0"/>
      <name val="Roboto"/>
    </font>
    <font>
      <sz val="10"/>
      <color theme="0"/>
      <name val="Roboto"/>
    </font>
    <font>
      <sz val="10"/>
      <color theme="1"/>
      <name val="Roboto"/>
    </font>
    <font>
      <b/>
      <sz val="10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42C4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thin">
        <color indexed="64"/>
      </right>
      <top/>
      <bottom style="medium">
        <color theme="0"/>
      </bottom>
      <diagonal/>
    </border>
    <border>
      <left style="medium">
        <color indexed="64"/>
      </left>
      <right style="thin">
        <color indexed="64"/>
      </right>
      <top style="medium">
        <color theme="0"/>
      </top>
      <bottom/>
      <diagonal/>
    </border>
    <border>
      <left style="medium">
        <color auto="1"/>
      </left>
      <right style="thin">
        <color theme="0" tint="-4.9989318521683403E-2"/>
      </right>
      <top style="medium">
        <color auto="1"/>
      </top>
      <bottom style="medium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auto="1"/>
      </top>
      <bottom style="medium">
        <color theme="0" tint="-4.9989318521683403E-2"/>
      </bottom>
      <diagonal/>
    </border>
    <border>
      <left style="thin">
        <color theme="0" tint="-4.9989318521683403E-2"/>
      </left>
      <right style="medium">
        <color auto="1"/>
      </right>
      <top style="medium">
        <color auto="1"/>
      </top>
      <bottom style="medium">
        <color theme="0" tint="-4.9989318521683403E-2"/>
      </bottom>
      <diagonal/>
    </border>
    <border>
      <left style="medium">
        <color auto="1"/>
      </left>
      <right style="thin">
        <color theme="0" tint="-4.9989318521683403E-2"/>
      </right>
      <top style="medium">
        <color theme="0" tint="-4.9989318521683403E-2"/>
      </top>
      <bottom style="medium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theme="0" tint="-4.9989318521683403E-2"/>
      </top>
      <bottom style="medium">
        <color auto="1"/>
      </bottom>
      <diagonal/>
    </border>
    <border>
      <left style="thin">
        <color theme="0" tint="-4.9989318521683403E-2"/>
      </left>
      <right style="medium">
        <color auto="1"/>
      </right>
      <top style="medium">
        <color theme="0" tint="-4.9989318521683403E-2"/>
      </top>
      <bottom style="medium">
        <color auto="1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2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2">
    <xf numFmtId="0" fontId="0" fillId="0" borderId="0" xfId="0"/>
    <xf numFmtId="3" fontId="8" fillId="2" borderId="4" xfId="0" applyNumberFormat="1" applyFont="1" applyFill="1" applyBorder="1" applyAlignment="1">
      <alignment horizontal="right" vertical="center"/>
    </xf>
    <xf numFmtId="3" fontId="8" fillId="2" borderId="1" xfId="0" applyNumberFormat="1" applyFont="1" applyFill="1" applyBorder="1" applyAlignment="1">
      <alignment horizontal="right" vertical="center"/>
    </xf>
    <xf numFmtId="3" fontId="8" fillId="0" borderId="1" xfId="2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7" fillId="2" borderId="3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9" fontId="4" fillId="0" borderId="0" xfId="6" applyFont="1" applyFill="1" applyBorder="1" applyAlignment="1">
      <alignment vertical="center"/>
    </xf>
    <xf numFmtId="49" fontId="4" fillId="0" borderId="0" xfId="0" applyNumberFormat="1" applyFont="1" applyAlignment="1">
      <alignment vertical="center"/>
    </xf>
    <xf numFmtId="168" fontId="8" fillId="0" borderId="0" xfId="4" applyNumberFormat="1" applyFont="1" applyAlignment="1">
      <alignment vertical="center"/>
    </xf>
    <xf numFmtId="0" fontId="7" fillId="0" borderId="5" xfId="0" applyFont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7" fillId="0" borderId="7" xfId="0" applyFont="1" applyBorder="1" applyAlignment="1">
      <alignment vertical="center"/>
    </xf>
    <xf numFmtId="0" fontId="10" fillId="3" borderId="8" xfId="0" applyFont="1" applyFill="1" applyBorder="1" applyAlignment="1">
      <alignment horizontal="center" vertical="center"/>
    </xf>
    <xf numFmtId="165" fontId="10" fillId="3" borderId="9" xfId="0" applyNumberFormat="1" applyFont="1" applyFill="1" applyBorder="1" applyAlignment="1">
      <alignment horizontal="center" vertical="center" wrapText="1"/>
    </xf>
    <xf numFmtId="37" fontId="10" fillId="3" borderId="9" xfId="0" applyNumberFormat="1" applyFont="1" applyFill="1" applyBorder="1" applyAlignment="1">
      <alignment horizontal="center" vertical="center" wrapText="1"/>
    </xf>
    <xf numFmtId="166" fontId="10" fillId="3" borderId="9" xfId="0" applyNumberFormat="1" applyFont="1" applyFill="1" applyBorder="1" applyAlignment="1">
      <alignment horizontal="center" vertical="center" wrapText="1"/>
    </xf>
    <xf numFmtId="166" fontId="10" fillId="3" borderId="10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vertical="center"/>
    </xf>
    <xf numFmtId="3" fontId="11" fillId="3" borderId="12" xfId="0" applyNumberFormat="1" applyFont="1" applyFill="1" applyBorder="1" applyAlignment="1">
      <alignment vertical="center"/>
    </xf>
    <xf numFmtId="3" fontId="11" fillId="3" borderId="12" xfId="2" applyNumberFormat="1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169" fontId="8" fillId="2" borderId="2" xfId="0" applyNumberFormat="1" applyFont="1" applyFill="1" applyBorder="1" applyAlignment="1">
      <alignment horizontal="right" vertical="center"/>
    </xf>
    <xf numFmtId="169" fontId="11" fillId="3" borderId="13" xfId="0" applyNumberFormat="1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5" fillId="3" borderId="0" xfId="0" applyFont="1" applyFill="1" applyAlignment="1">
      <alignment horizontal="left" vertical="center"/>
    </xf>
    <xf numFmtId="49" fontId="4" fillId="0" borderId="0" xfId="2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</cellXfs>
  <cellStyles count="7">
    <cellStyle name="Millares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Porcentaje" xfId="4" builtinId="5"/>
    <cellStyle name="Porcentaje 2" xfId="5" xr:uid="{00000000-0005-0000-0000-000005000000}"/>
    <cellStyle name="Porcentaje 3" xfId="6" xr:uid="{00000000-0005-0000-0000-000006000000}"/>
  </cellStyles>
  <dxfs count="0"/>
  <tableStyles count="0" defaultTableStyle="TableStyleMedium2" defaultPivotStyle="PivotStyleLight16"/>
  <colors>
    <mruColors>
      <color rgb="FF242C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786606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786606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786606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786606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786606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786606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786606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786606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0"/>
          <a:ext cx="970684" cy="78660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786606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FA282E-BD57-42B3-8AB4-6BF098F6F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0"/>
          <a:ext cx="970684" cy="7866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42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4" customWidth="1"/>
    <col min="2" max="2" width="27.140625" style="4" customWidth="1"/>
    <col min="3" max="3" width="16" style="4" customWidth="1"/>
    <col min="4" max="4" width="13.140625" style="4" customWidth="1"/>
    <col min="5" max="5" width="15.5703125" style="4" customWidth="1"/>
    <col min="6" max="6" width="16.42578125" style="4" bestFit="1" customWidth="1"/>
    <col min="7" max="7" width="15.5703125" style="4" customWidth="1"/>
    <col min="8" max="16384" width="11.42578125" style="4"/>
  </cols>
  <sheetData>
    <row r="1" spans="2:7" ht="64.5" customHeight="1" x14ac:dyDescent="0.2">
      <c r="B1" s="35"/>
      <c r="C1" s="35"/>
      <c r="D1" s="35"/>
      <c r="E1" s="35"/>
      <c r="F1" s="35"/>
      <c r="G1" s="35"/>
    </row>
    <row r="2" spans="2:7" s="9" customFormat="1" ht="18.75" customHeight="1" x14ac:dyDescent="0.2">
      <c r="B2" s="36" t="s">
        <v>41</v>
      </c>
      <c r="C2" s="36"/>
      <c r="D2" s="36"/>
      <c r="E2" s="36"/>
      <c r="F2" s="36"/>
      <c r="G2" s="36"/>
    </row>
    <row r="3" spans="2:7" s="6" customFormat="1" ht="18.75" customHeight="1" x14ac:dyDescent="0.2">
      <c r="B3" s="37" t="s">
        <v>40</v>
      </c>
      <c r="C3" s="37"/>
      <c r="D3" s="37"/>
      <c r="E3" s="37"/>
      <c r="F3" s="37"/>
      <c r="G3" s="37"/>
    </row>
    <row r="4" spans="2:7" ht="18.75" customHeight="1" x14ac:dyDescent="0.2">
      <c r="B4" s="38" t="s">
        <v>24</v>
      </c>
      <c r="C4" s="38"/>
      <c r="D4" s="38"/>
      <c r="E4" s="38"/>
      <c r="F4" s="38"/>
      <c r="G4" s="38"/>
    </row>
    <row r="5" spans="2:7" ht="13.5" thickBot="1" x14ac:dyDescent="0.25"/>
    <row r="6" spans="2:7" s="6" customFormat="1" ht="53.25" customHeight="1" thickBot="1" x14ac:dyDescent="0.25">
      <c r="B6" s="21" t="s">
        <v>22</v>
      </c>
      <c r="C6" s="22" t="s">
        <v>36</v>
      </c>
      <c r="D6" s="23" t="s">
        <v>0</v>
      </c>
      <c r="E6" s="22" t="s">
        <v>35</v>
      </c>
      <c r="F6" s="24" t="s">
        <v>42</v>
      </c>
      <c r="G6" s="25" t="s">
        <v>1</v>
      </c>
    </row>
    <row r="7" spans="2:7" s="9" customFormat="1" ht="20.25" customHeight="1" x14ac:dyDescent="0.2">
      <c r="B7" s="8" t="s">
        <v>38</v>
      </c>
      <c r="C7" s="1">
        <v>89185564.025049999</v>
      </c>
      <c r="D7" s="2">
        <v>176160</v>
      </c>
      <c r="E7" s="2">
        <f t="shared" ref="E7:E31" si="0">C7/D7/13*1000</f>
        <v>38944.300646724128</v>
      </c>
      <c r="F7" s="3">
        <v>3063728</v>
      </c>
      <c r="G7" s="30">
        <f>D7/F7*1000</f>
        <v>57.498576897165805</v>
      </c>
    </row>
    <row r="8" spans="2:7" s="9" customFormat="1" ht="20.25" customHeight="1" x14ac:dyDescent="0.2">
      <c r="B8" s="10" t="s">
        <v>23</v>
      </c>
      <c r="C8" s="1">
        <v>251989360.00000003</v>
      </c>
      <c r="D8" s="2">
        <v>691149</v>
      </c>
      <c r="E8" s="2">
        <f t="shared" si="0"/>
        <v>28045.757026454394</v>
      </c>
      <c r="F8" s="3">
        <v>17020012</v>
      </c>
      <c r="G8" s="30">
        <f>D8/F8*1000</f>
        <v>40.60802072289961</v>
      </c>
    </row>
    <row r="9" spans="2:7" s="9" customFormat="1" ht="20.25" customHeight="1" x14ac:dyDescent="0.2">
      <c r="B9" s="10" t="s">
        <v>3</v>
      </c>
      <c r="C9" s="1">
        <v>13087105.041381761</v>
      </c>
      <c r="D9" s="2">
        <v>43676</v>
      </c>
      <c r="E9" s="2">
        <f t="shared" si="0"/>
        <v>23049.280790333298</v>
      </c>
      <c r="F9" s="3">
        <v>404433</v>
      </c>
      <c r="G9" s="30">
        <f t="shared" ref="G9:G31" si="1">D9/F9*1000</f>
        <v>107.99316574067892</v>
      </c>
    </row>
    <row r="10" spans="2:7" s="9" customFormat="1" ht="20.25" customHeight="1" x14ac:dyDescent="0.2">
      <c r="B10" s="10" t="s">
        <v>4</v>
      </c>
      <c r="C10" s="1">
        <v>60006657</v>
      </c>
      <c r="D10" s="2">
        <v>127381</v>
      </c>
      <c r="E10" s="2">
        <f t="shared" si="0"/>
        <v>36236.932449169755</v>
      </c>
      <c r="F10" s="3">
        <v>3645321</v>
      </c>
      <c r="G10" s="30">
        <f t="shared" si="1"/>
        <v>34.943699059698723</v>
      </c>
    </row>
    <row r="11" spans="2:7" s="9" customFormat="1" ht="20.25" customHeight="1" x14ac:dyDescent="0.2">
      <c r="B11" s="10" t="s">
        <v>5</v>
      </c>
      <c r="C11" s="1">
        <v>21344009.999999996</v>
      </c>
      <c r="D11" s="2">
        <v>61514</v>
      </c>
      <c r="E11" s="2">
        <f t="shared" si="0"/>
        <v>26690.62202225384</v>
      </c>
      <c r="F11" s="3">
        <v>1090938</v>
      </c>
      <c r="G11" s="30">
        <f t="shared" si="1"/>
        <v>56.38633909534731</v>
      </c>
    </row>
    <row r="12" spans="2:7" s="9" customFormat="1" ht="20.25" customHeight="1" x14ac:dyDescent="0.2">
      <c r="B12" s="10" t="s">
        <v>6</v>
      </c>
      <c r="C12" s="1">
        <v>31637941.909999996</v>
      </c>
      <c r="D12" s="2">
        <v>80732</v>
      </c>
      <c r="E12" s="2">
        <f t="shared" si="0"/>
        <v>30145.26878103811</v>
      </c>
      <c r="F12" s="3">
        <v>1168165</v>
      </c>
      <c r="G12" s="30">
        <f t="shared" si="1"/>
        <v>69.110100028677451</v>
      </c>
    </row>
    <row r="13" spans="2:7" s="9" customFormat="1" ht="20.25" customHeight="1" x14ac:dyDescent="0.2">
      <c r="B13" s="10" t="s">
        <v>7</v>
      </c>
      <c r="C13" s="1">
        <v>22997140.085109998</v>
      </c>
      <c r="D13" s="2">
        <v>44923</v>
      </c>
      <c r="E13" s="2">
        <f t="shared" si="0"/>
        <v>39378.731958633485</v>
      </c>
      <c r="F13" s="3">
        <v>587956</v>
      </c>
      <c r="G13" s="30">
        <f t="shared" si="1"/>
        <v>76.405377273129275</v>
      </c>
    </row>
    <row r="14" spans="2:7" s="9" customFormat="1" ht="20.25" customHeight="1" x14ac:dyDescent="0.2">
      <c r="B14" s="10" t="s">
        <v>8</v>
      </c>
      <c r="C14" s="1">
        <v>33655460</v>
      </c>
      <c r="D14" s="2">
        <v>87473</v>
      </c>
      <c r="E14" s="2">
        <f t="shared" si="0"/>
        <v>29596.350170470185</v>
      </c>
      <c r="F14" s="3">
        <v>1347508</v>
      </c>
      <c r="G14" s="30">
        <f t="shared" si="1"/>
        <v>64.914642436260124</v>
      </c>
    </row>
    <row r="15" spans="2:7" s="9" customFormat="1" ht="20.25" customHeight="1" x14ac:dyDescent="0.2">
      <c r="B15" s="10" t="s">
        <v>9</v>
      </c>
      <c r="C15" s="1">
        <v>15967675.79984</v>
      </c>
      <c r="D15" s="2">
        <v>38995</v>
      </c>
      <c r="E15" s="2">
        <f t="shared" si="0"/>
        <v>31498.467850592286</v>
      </c>
      <c r="F15" s="3">
        <v>589916</v>
      </c>
      <c r="G15" s="30">
        <f t="shared" si="1"/>
        <v>66.102631561103621</v>
      </c>
    </row>
    <row r="16" spans="2:7" s="9" customFormat="1" ht="20.25" customHeight="1" x14ac:dyDescent="0.2">
      <c r="B16" s="10" t="s">
        <v>10</v>
      </c>
      <c r="C16" s="1">
        <v>19620962.499999996</v>
      </c>
      <c r="D16" s="2">
        <v>63892</v>
      </c>
      <c r="E16" s="2">
        <f t="shared" si="0"/>
        <v>23622.75101252594</v>
      </c>
      <c r="F16" s="3">
        <v>745252</v>
      </c>
      <c r="G16" s="30">
        <f t="shared" si="1"/>
        <v>85.732074519759749</v>
      </c>
    </row>
    <row r="17" spans="2:7" s="9" customFormat="1" ht="20.25" customHeight="1" x14ac:dyDescent="0.2">
      <c r="B17" s="8" t="s">
        <v>46</v>
      </c>
      <c r="C17" s="1">
        <v>11926504.78551</v>
      </c>
      <c r="D17" s="2">
        <v>26992</v>
      </c>
      <c r="E17" s="2">
        <f t="shared" si="0"/>
        <v>33988.716843480688</v>
      </c>
      <c r="F17" s="3">
        <v>349299</v>
      </c>
      <c r="G17" s="30">
        <f t="shared" si="1"/>
        <v>77.274770325709497</v>
      </c>
    </row>
    <row r="18" spans="2:7" s="9" customFormat="1" ht="20.25" customHeight="1" x14ac:dyDescent="0.2">
      <c r="B18" s="10" t="s">
        <v>11</v>
      </c>
      <c r="C18" s="1">
        <v>10859516.799620001</v>
      </c>
      <c r="D18" s="2">
        <v>38029</v>
      </c>
      <c r="E18" s="2">
        <f t="shared" si="0"/>
        <v>21966.063954471996</v>
      </c>
      <c r="F18" s="3">
        <v>378047</v>
      </c>
      <c r="G18" s="30">
        <f t="shared" si="1"/>
        <v>100.5933124717297</v>
      </c>
    </row>
    <row r="19" spans="2:7" s="9" customFormat="1" ht="20.25" customHeight="1" x14ac:dyDescent="0.2">
      <c r="B19" s="8" t="s">
        <v>12</v>
      </c>
      <c r="C19" s="2">
        <v>36900400.874397151</v>
      </c>
      <c r="D19" s="2">
        <v>93950</v>
      </c>
      <c r="E19" s="2">
        <f t="shared" si="0"/>
        <v>30212.798030373888</v>
      </c>
      <c r="F19" s="3">
        <v>1928304</v>
      </c>
      <c r="G19" s="30">
        <f t="shared" si="1"/>
        <v>48.721570872642488</v>
      </c>
    </row>
    <row r="20" spans="2:7" s="9" customFormat="1" ht="20.25" customHeight="1" x14ac:dyDescent="0.2">
      <c r="B20" s="10" t="s">
        <v>13</v>
      </c>
      <c r="C20" s="1">
        <v>21381960</v>
      </c>
      <c r="D20" s="2">
        <v>59065</v>
      </c>
      <c r="E20" s="2">
        <f t="shared" si="0"/>
        <v>27846.713855009799</v>
      </c>
      <c r="F20" s="3">
        <v>1218771</v>
      </c>
      <c r="G20" s="30">
        <f t="shared" si="1"/>
        <v>48.462754693047337</v>
      </c>
    </row>
    <row r="21" spans="2:7" s="9" customFormat="1" ht="20.25" customHeight="1" x14ac:dyDescent="0.2">
      <c r="B21" s="10" t="s">
        <v>14</v>
      </c>
      <c r="C21" s="1">
        <v>32505788.717999995</v>
      </c>
      <c r="D21" s="2">
        <v>65087</v>
      </c>
      <c r="E21" s="2">
        <f t="shared" si="0"/>
        <v>38416.969379445967</v>
      </c>
      <c r="F21" s="3">
        <v>637913</v>
      </c>
      <c r="G21" s="30">
        <f t="shared" si="1"/>
        <v>102.03115471859016</v>
      </c>
    </row>
    <row r="22" spans="2:7" s="9" customFormat="1" ht="20.25" customHeight="1" x14ac:dyDescent="0.2">
      <c r="B22" s="10" t="s">
        <v>15</v>
      </c>
      <c r="C22" s="1">
        <v>22451323.63631</v>
      </c>
      <c r="D22" s="2">
        <v>57032</v>
      </c>
      <c r="E22" s="2">
        <f t="shared" si="0"/>
        <v>30281.68212759099</v>
      </c>
      <c r="F22" s="3">
        <v>718646</v>
      </c>
      <c r="G22" s="30">
        <f t="shared" si="1"/>
        <v>79.360352663202747</v>
      </c>
    </row>
    <row r="23" spans="2:7" s="9" customFormat="1" ht="20.25" customHeight="1" x14ac:dyDescent="0.2">
      <c r="B23" s="10" t="s">
        <v>16</v>
      </c>
      <c r="C23" s="1">
        <v>26801706.084000003</v>
      </c>
      <c r="D23" s="2">
        <v>72771</v>
      </c>
      <c r="E23" s="2">
        <f t="shared" si="0"/>
        <v>28330.924389787564</v>
      </c>
      <c r="F23" s="3">
        <v>1370283</v>
      </c>
      <c r="G23" s="30">
        <f t="shared" si="1"/>
        <v>53.10654806342923</v>
      </c>
    </row>
    <row r="24" spans="2:7" s="9" customFormat="1" ht="20.25" customHeight="1" x14ac:dyDescent="0.2">
      <c r="B24" s="10" t="s">
        <v>17</v>
      </c>
      <c r="C24" s="1">
        <v>14227235.577</v>
      </c>
      <c r="D24" s="2">
        <v>41504</v>
      </c>
      <c r="E24" s="2">
        <f t="shared" si="0"/>
        <v>26368.608729093765</v>
      </c>
      <c r="F24" s="3">
        <v>755994</v>
      </c>
      <c r="G24" s="30">
        <f t="shared" si="1"/>
        <v>54.899906613015446</v>
      </c>
    </row>
    <row r="25" spans="2:7" s="9" customFormat="1" ht="20.25" customHeight="1" x14ac:dyDescent="0.2">
      <c r="B25" s="8" t="s">
        <v>45</v>
      </c>
      <c r="C25" s="1">
        <v>9742462.9625299983</v>
      </c>
      <c r="D25" s="2">
        <v>26142</v>
      </c>
      <c r="E25" s="2">
        <f t="shared" si="0"/>
        <v>28667.287425863473</v>
      </c>
      <c r="F25" s="3">
        <v>489225</v>
      </c>
      <c r="G25" s="30">
        <f t="shared" si="1"/>
        <v>53.435535796412694</v>
      </c>
    </row>
    <row r="26" spans="2:7" s="9" customFormat="1" ht="20.25" customHeight="1" x14ac:dyDescent="0.2">
      <c r="B26" s="10" t="s">
        <v>18</v>
      </c>
      <c r="C26" s="1">
        <v>16876737.682749998</v>
      </c>
      <c r="D26" s="2">
        <v>34843</v>
      </c>
      <c r="E26" s="2">
        <f t="shared" si="0"/>
        <v>37258.863788444425</v>
      </c>
      <c r="F26" s="3">
        <v>338542</v>
      </c>
      <c r="G26" s="30">
        <f t="shared" si="1"/>
        <v>102.92076020109765</v>
      </c>
    </row>
    <row r="27" spans="2:7" s="9" customFormat="1" ht="20.25" customHeight="1" x14ac:dyDescent="0.2">
      <c r="B27" s="8" t="s">
        <v>19</v>
      </c>
      <c r="C27" s="1">
        <v>64290145.420000002</v>
      </c>
      <c r="D27" s="2">
        <v>142952</v>
      </c>
      <c r="E27" s="2">
        <f t="shared" si="0"/>
        <v>34594.799663792473</v>
      </c>
      <c r="F27" s="3">
        <v>3453674</v>
      </c>
      <c r="G27" s="30">
        <f t="shared" si="1"/>
        <v>41.391283601173711</v>
      </c>
    </row>
    <row r="28" spans="2:7" s="9" customFormat="1" ht="20.25" customHeight="1" x14ac:dyDescent="0.2">
      <c r="B28" s="10" t="s">
        <v>34</v>
      </c>
      <c r="C28" s="1">
        <v>13667427</v>
      </c>
      <c r="D28" s="2">
        <v>59149</v>
      </c>
      <c r="E28" s="2">
        <f t="shared" si="0"/>
        <v>17774.443159842744</v>
      </c>
      <c r="F28" s="3">
        <v>948172</v>
      </c>
      <c r="G28" s="30">
        <f t="shared" si="1"/>
        <v>62.382141636749452</v>
      </c>
    </row>
    <row r="29" spans="2:7" s="9" customFormat="1" ht="20.25" customHeight="1" x14ac:dyDescent="0.2">
      <c r="B29" s="10" t="s">
        <v>20</v>
      </c>
      <c r="C29" s="1">
        <v>33377345.916270003</v>
      </c>
      <c r="D29" s="2">
        <v>90153</v>
      </c>
      <c r="E29" s="2">
        <f t="shared" si="0"/>
        <v>28479.231388920885</v>
      </c>
      <c r="F29" s="3">
        <v>1633992</v>
      </c>
      <c r="G29" s="30">
        <f t="shared" si="1"/>
        <v>55.173464741565439</v>
      </c>
    </row>
    <row r="30" spans="2:7" s="9" customFormat="1" ht="20.25" customHeight="1" thickBot="1" x14ac:dyDescent="0.25">
      <c r="B30" s="10" t="s">
        <v>33</v>
      </c>
      <c r="C30" s="2">
        <v>11465130</v>
      </c>
      <c r="D30" s="2">
        <v>19475</v>
      </c>
      <c r="E30" s="2">
        <f t="shared" si="0"/>
        <v>45285.395477436548</v>
      </c>
      <c r="F30" s="3">
        <v>160720</v>
      </c>
      <c r="G30" s="30">
        <f t="shared" si="1"/>
        <v>121.17346938775509</v>
      </c>
    </row>
    <row r="31" spans="2:7" s="11" customFormat="1" ht="26.25" customHeight="1" thickBot="1" x14ac:dyDescent="0.25">
      <c r="B31" s="26" t="s">
        <v>21</v>
      </c>
      <c r="C31" s="27">
        <f>SUM(C7:C30)</f>
        <v>885965561.81776893</v>
      </c>
      <c r="D31" s="27">
        <f>SUM(D7:D30)</f>
        <v>2243039</v>
      </c>
      <c r="E31" s="27">
        <f t="shared" si="0"/>
        <v>30383.420467903281</v>
      </c>
      <c r="F31" s="28">
        <f>+SUM(F7:F30)</f>
        <v>44044811</v>
      </c>
      <c r="G31" s="31">
        <f t="shared" si="1"/>
        <v>50.926294132582377</v>
      </c>
    </row>
    <row r="32" spans="2:7" ht="8.25" customHeight="1" x14ac:dyDescent="0.2">
      <c r="B32" s="12"/>
      <c r="E32" s="13"/>
      <c r="G32" s="14"/>
    </row>
    <row r="33" spans="1:7" x14ac:dyDescent="0.2">
      <c r="B33" s="40" t="s">
        <v>43</v>
      </c>
      <c r="C33" s="40"/>
      <c r="D33" s="40"/>
      <c r="E33" s="40"/>
      <c r="F33" s="40"/>
      <c r="G33" s="40"/>
    </row>
    <row r="34" spans="1:7" x14ac:dyDescent="0.2">
      <c r="A34" s="15"/>
      <c r="B34" s="34" t="s">
        <v>44</v>
      </c>
      <c r="C34" s="34"/>
      <c r="D34" s="34"/>
      <c r="E34" s="34"/>
      <c r="F34" s="34"/>
      <c r="G34" s="34"/>
    </row>
    <row r="35" spans="1:7" x14ac:dyDescent="0.2">
      <c r="A35" s="15"/>
      <c r="B35" s="34"/>
      <c r="C35" s="34"/>
      <c r="D35" s="34"/>
      <c r="E35" s="34"/>
      <c r="F35" s="34"/>
      <c r="G35" s="34"/>
    </row>
    <row r="36" spans="1:7" x14ac:dyDescent="0.2">
      <c r="A36" s="15"/>
      <c r="B36" s="33" t="s">
        <v>52</v>
      </c>
      <c r="C36" s="29"/>
      <c r="D36" s="29"/>
      <c r="E36" s="29"/>
      <c r="F36" s="29"/>
      <c r="G36" s="29"/>
    </row>
    <row r="37" spans="1:7" x14ac:dyDescent="0.2">
      <c r="B37" s="39" t="s">
        <v>32</v>
      </c>
      <c r="C37" s="39"/>
      <c r="D37" s="39"/>
      <c r="E37" s="39"/>
      <c r="F37" s="39"/>
      <c r="G37" s="39"/>
    </row>
    <row r="38" spans="1:7" x14ac:dyDescent="0.2">
      <c r="B38" s="34"/>
      <c r="C38" s="34"/>
      <c r="D38" s="34"/>
      <c r="E38" s="34"/>
      <c r="F38" s="34"/>
      <c r="G38" s="34"/>
    </row>
    <row r="39" spans="1:7" x14ac:dyDescent="0.2">
      <c r="B39" s="34"/>
      <c r="C39" s="34"/>
      <c r="D39" s="34"/>
      <c r="E39" s="34"/>
      <c r="F39" s="34"/>
      <c r="G39" s="34"/>
    </row>
    <row r="40" spans="1:7" x14ac:dyDescent="0.2">
      <c r="B40" s="34"/>
      <c r="C40" s="34"/>
      <c r="D40" s="34"/>
      <c r="E40" s="34"/>
      <c r="F40" s="34"/>
      <c r="G40" s="34"/>
    </row>
    <row r="41" spans="1:7" x14ac:dyDescent="0.2">
      <c r="B41" s="34"/>
      <c r="C41" s="34"/>
      <c r="D41" s="34"/>
      <c r="E41" s="34"/>
      <c r="F41" s="34"/>
      <c r="G41" s="34"/>
    </row>
    <row r="42" spans="1:7" x14ac:dyDescent="0.2">
      <c r="B42" s="34"/>
      <c r="C42" s="34"/>
      <c r="D42" s="34"/>
      <c r="E42" s="34"/>
      <c r="F42" s="34"/>
      <c r="G42" s="34"/>
    </row>
  </sheetData>
  <mergeCells count="13">
    <mergeCell ref="B1:G1"/>
    <mergeCell ref="B2:G2"/>
    <mergeCell ref="B3:G3"/>
    <mergeCell ref="B4:G4"/>
    <mergeCell ref="B37:G37"/>
    <mergeCell ref="B33:G33"/>
    <mergeCell ref="B34:G34"/>
    <mergeCell ref="B35:G35"/>
    <mergeCell ref="B38:G38"/>
    <mergeCell ref="B39:G39"/>
    <mergeCell ref="B40:G40"/>
    <mergeCell ref="B41:G41"/>
    <mergeCell ref="B42:G4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42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4" customWidth="1"/>
    <col min="2" max="2" width="27.140625" style="4" customWidth="1"/>
    <col min="3" max="3" width="16.42578125" style="4" customWidth="1"/>
    <col min="4" max="4" width="13.140625" style="4" customWidth="1"/>
    <col min="5" max="5" width="15.5703125" style="4" customWidth="1"/>
    <col min="6" max="6" width="16.42578125" style="4" bestFit="1" customWidth="1"/>
    <col min="7" max="7" width="15.5703125" style="4" customWidth="1"/>
    <col min="8" max="16384" width="11.42578125" style="4"/>
  </cols>
  <sheetData>
    <row r="1" spans="2:7" ht="64.5" customHeight="1" x14ac:dyDescent="0.2">
      <c r="B1" s="35"/>
      <c r="C1" s="35"/>
      <c r="D1" s="35"/>
      <c r="E1" s="35"/>
      <c r="F1" s="35"/>
      <c r="G1" s="35"/>
    </row>
    <row r="2" spans="2:7" s="9" customFormat="1" ht="18.75" customHeight="1" x14ac:dyDescent="0.2">
      <c r="B2" s="36" t="s">
        <v>41</v>
      </c>
      <c r="C2" s="36"/>
      <c r="D2" s="36"/>
      <c r="E2" s="36"/>
      <c r="F2" s="36"/>
      <c r="G2" s="36"/>
    </row>
    <row r="3" spans="2:7" s="6" customFormat="1" ht="18.75" customHeight="1" x14ac:dyDescent="0.2">
      <c r="B3" s="37" t="s">
        <v>40</v>
      </c>
      <c r="C3" s="37"/>
      <c r="D3" s="37"/>
      <c r="E3" s="37"/>
      <c r="F3" s="37"/>
      <c r="G3" s="37"/>
    </row>
    <row r="4" spans="2:7" ht="18.75" customHeight="1" x14ac:dyDescent="0.2">
      <c r="B4" s="38" t="s">
        <v>27</v>
      </c>
      <c r="C4" s="38"/>
      <c r="D4" s="38"/>
      <c r="E4" s="38"/>
      <c r="F4" s="38"/>
      <c r="G4" s="38"/>
    </row>
    <row r="5" spans="2:7" ht="13.5" thickBot="1" x14ac:dyDescent="0.25"/>
    <row r="6" spans="2:7" s="6" customFormat="1" ht="53.25" customHeight="1" thickBot="1" x14ac:dyDescent="0.25">
      <c r="B6" s="21" t="s">
        <v>22</v>
      </c>
      <c r="C6" s="22" t="s">
        <v>36</v>
      </c>
      <c r="D6" s="23" t="s">
        <v>0</v>
      </c>
      <c r="E6" s="22" t="s">
        <v>35</v>
      </c>
      <c r="F6" s="24" t="s">
        <v>42</v>
      </c>
      <c r="G6" s="25" t="s">
        <v>1</v>
      </c>
    </row>
    <row r="7" spans="2:7" s="9" customFormat="1" ht="20.25" customHeight="1" x14ac:dyDescent="0.2">
      <c r="B7" s="8" t="s">
        <v>38</v>
      </c>
      <c r="C7" s="1">
        <v>114224978.47127001</v>
      </c>
      <c r="D7" s="2">
        <v>177470</v>
      </c>
      <c r="E7" s="2">
        <v>45366.146666104287</v>
      </c>
      <c r="F7" s="3">
        <v>3068043</v>
      </c>
      <c r="G7" s="30">
        <v>63.128344141428272</v>
      </c>
    </row>
    <row r="8" spans="2:7" s="9" customFormat="1" ht="20.25" customHeight="1" x14ac:dyDescent="0.2">
      <c r="B8" s="10" t="s">
        <v>23</v>
      </c>
      <c r="C8" s="1">
        <v>315942214.66249001</v>
      </c>
      <c r="D8" s="2">
        <v>645716</v>
      </c>
      <c r="E8" s="2">
        <v>37646.014345237272</v>
      </c>
      <c r="F8" s="3">
        <v>17196396</v>
      </c>
      <c r="G8" s="30">
        <v>37.541175294327175</v>
      </c>
    </row>
    <row r="9" spans="2:7" s="9" customFormat="1" ht="20.25" customHeight="1" x14ac:dyDescent="0.2">
      <c r="B9" s="10" t="s">
        <v>3</v>
      </c>
      <c r="C9" s="1">
        <v>17092182.128731228</v>
      </c>
      <c r="D9" s="2">
        <v>44010</v>
      </c>
      <c r="E9" s="2">
        <v>29874.647595356349</v>
      </c>
      <c r="F9" s="3">
        <v>408152</v>
      </c>
      <c r="G9" s="30">
        <v>107.82747603833866</v>
      </c>
    </row>
    <row r="10" spans="2:7" s="9" customFormat="1" ht="20.25" customHeight="1" x14ac:dyDescent="0.2">
      <c r="B10" s="10" t="s">
        <v>4</v>
      </c>
      <c r="C10" s="1">
        <v>78343823.000000015</v>
      </c>
      <c r="D10" s="2">
        <v>128018</v>
      </c>
      <c r="E10" s="2">
        <v>46989.946105004012</v>
      </c>
      <c r="F10" s="3">
        <v>3683937</v>
      </c>
      <c r="G10" s="30">
        <v>34.67133124154946</v>
      </c>
    </row>
    <row r="11" spans="2:7" s="9" customFormat="1" ht="20.25" customHeight="1" x14ac:dyDescent="0.2">
      <c r="B11" s="10" t="s">
        <v>5</v>
      </c>
      <c r="C11" s="1">
        <v>27359590</v>
      </c>
      <c r="D11" s="2">
        <v>61309</v>
      </c>
      <c r="E11" s="2">
        <v>33318.715521916944</v>
      </c>
      <c r="F11" s="3">
        <v>1101084</v>
      </c>
      <c r="G11" s="30">
        <v>57.190913681426665</v>
      </c>
    </row>
    <row r="12" spans="2:7" s="9" customFormat="1" ht="20.25" customHeight="1" x14ac:dyDescent="0.2">
      <c r="B12" s="10" t="s">
        <v>6</v>
      </c>
      <c r="C12" s="1">
        <v>37433500</v>
      </c>
      <c r="D12" s="2">
        <v>81092</v>
      </c>
      <c r="E12" s="2">
        <v>32782.831812978104</v>
      </c>
      <c r="F12" s="3">
        <v>1180477</v>
      </c>
      <c r="G12" s="30">
        <v>73.369493857144178</v>
      </c>
    </row>
    <row r="13" spans="2:7" s="9" customFormat="1" ht="20.25" customHeight="1" x14ac:dyDescent="0.2">
      <c r="B13" s="10" t="s">
        <v>7</v>
      </c>
      <c r="C13" s="1">
        <v>27133947.538250003</v>
      </c>
      <c r="D13" s="2">
        <v>44312</v>
      </c>
      <c r="E13" s="2">
        <v>46467.80833424806</v>
      </c>
      <c r="F13" s="3">
        <v>598380</v>
      </c>
      <c r="G13" s="30">
        <v>74.248805107122564</v>
      </c>
    </row>
    <row r="14" spans="2:7" s="9" customFormat="1" ht="20.25" customHeight="1" x14ac:dyDescent="0.2">
      <c r="B14" s="10" t="s">
        <v>8</v>
      </c>
      <c r="C14" s="1">
        <v>43480159.999999993</v>
      </c>
      <c r="D14" s="2">
        <v>86671</v>
      </c>
      <c r="E14" s="2">
        <v>38472.175238683769</v>
      </c>
      <c r="F14" s="3">
        <v>1360443</v>
      </c>
      <c r="G14" s="30">
        <v>63.682932691777609</v>
      </c>
    </row>
    <row r="15" spans="2:7" s="9" customFormat="1" ht="20.25" customHeight="1" x14ac:dyDescent="0.2">
      <c r="B15" s="10" t="s">
        <v>9</v>
      </c>
      <c r="C15" s="1">
        <v>19391133.42695</v>
      </c>
      <c r="D15" s="2">
        <v>38230</v>
      </c>
      <c r="E15" s="2">
        <v>39056.021018004561</v>
      </c>
      <c r="F15" s="3">
        <v>595129</v>
      </c>
      <c r="G15" s="30">
        <v>63.641664244222682</v>
      </c>
    </row>
    <row r="16" spans="2:7" s="9" customFormat="1" ht="20.25" customHeight="1" x14ac:dyDescent="0.2">
      <c r="B16" s="10" t="s">
        <v>10</v>
      </c>
      <c r="C16" s="1">
        <v>24108550.091910001</v>
      </c>
      <c r="D16" s="2">
        <v>62475</v>
      </c>
      <c r="E16" s="2">
        <v>29679.659644450512</v>
      </c>
      <c r="F16" s="3">
        <v>753891</v>
      </c>
      <c r="G16" s="30">
        <v>82.882008141760537</v>
      </c>
    </row>
    <row r="17" spans="2:7" s="9" customFormat="1" ht="20.25" customHeight="1" x14ac:dyDescent="0.2">
      <c r="B17" s="8" t="s">
        <v>46</v>
      </c>
      <c r="C17" s="1">
        <v>15390504.809750803</v>
      </c>
      <c r="D17" s="2">
        <v>27241</v>
      </c>
      <c r="E17" s="2">
        <v>45579.922384636528</v>
      </c>
      <c r="F17" s="3">
        <v>352378</v>
      </c>
      <c r="G17" s="30">
        <v>74.354244589616826</v>
      </c>
    </row>
    <row r="18" spans="2:7" s="9" customFormat="1" ht="20.25" customHeight="1" x14ac:dyDescent="0.2">
      <c r="B18" s="10" t="s">
        <v>11</v>
      </c>
      <c r="C18" s="1">
        <v>14030684.69211</v>
      </c>
      <c r="D18" s="2">
        <v>38354</v>
      </c>
      <c r="E18" s="2">
        <v>26926.214052207055</v>
      </c>
      <c r="F18" s="3">
        <v>383220</v>
      </c>
      <c r="G18" s="30">
        <v>104.59527164552998</v>
      </c>
    </row>
    <row r="19" spans="2:7" s="9" customFormat="1" ht="20.25" customHeight="1" x14ac:dyDescent="0.2">
      <c r="B19" s="8" t="s">
        <v>12</v>
      </c>
      <c r="C19" s="2">
        <v>44392237.859810017</v>
      </c>
      <c r="D19" s="2">
        <v>91785</v>
      </c>
      <c r="E19" s="2">
        <v>34917.435179632186</v>
      </c>
      <c r="F19" s="3">
        <v>1949293</v>
      </c>
      <c r="G19" s="30">
        <v>50.1700146326557</v>
      </c>
    </row>
    <row r="20" spans="2:7" s="9" customFormat="1" ht="20.25" customHeight="1" x14ac:dyDescent="0.2">
      <c r="B20" s="10" t="s">
        <v>13</v>
      </c>
      <c r="C20" s="1">
        <v>24464559.345020834</v>
      </c>
      <c r="D20" s="2">
        <v>58824</v>
      </c>
      <c r="E20" s="2">
        <v>31985.252382813207</v>
      </c>
      <c r="F20" s="3">
        <v>1233177</v>
      </c>
      <c r="G20" s="30">
        <v>47.336270462391042</v>
      </c>
    </row>
    <row r="21" spans="2:7" s="9" customFormat="1" ht="20.25" customHeight="1" x14ac:dyDescent="0.2">
      <c r="B21" s="10" t="s">
        <v>14</v>
      </c>
      <c r="C21" s="1">
        <v>43819646.112999998</v>
      </c>
      <c r="D21" s="2">
        <v>64678</v>
      </c>
      <c r="E21" s="2">
        <v>49357.238053870133</v>
      </c>
      <c r="F21" s="3">
        <v>646784</v>
      </c>
      <c r="G21" s="30">
        <v>105.14174747674649</v>
      </c>
    </row>
    <row r="22" spans="2:7" s="9" customFormat="1" ht="20.25" customHeight="1" x14ac:dyDescent="0.2">
      <c r="B22" s="10" t="s">
        <v>15</v>
      </c>
      <c r="C22" s="1">
        <v>27611671.005029995</v>
      </c>
      <c r="D22" s="2">
        <v>57108</v>
      </c>
      <c r="E22" s="2">
        <v>36690.471293244227</v>
      </c>
      <c r="F22" s="3">
        <v>728403</v>
      </c>
      <c r="G22" s="30">
        <v>79.473862683157535</v>
      </c>
    </row>
    <row r="23" spans="2:7" s="9" customFormat="1" ht="20.25" customHeight="1" x14ac:dyDescent="0.2">
      <c r="B23" s="10" t="s">
        <v>26</v>
      </c>
      <c r="C23" s="1">
        <v>32718004.812989999</v>
      </c>
      <c r="D23" s="2">
        <v>72024</v>
      </c>
      <c r="E23" s="2">
        <v>35693.290422760008</v>
      </c>
      <c r="F23" s="3">
        <v>1388532</v>
      </c>
      <c r="G23" s="30">
        <v>50.780968677711428</v>
      </c>
    </row>
    <row r="24" spans="2:7" s="9" customFormat="1" ht="20.25" customHeight="1" x14ac:dyDescent="0.2">
      <c r="B24" s="10" t="s">
        <v>17</v>
      </c>
      <c r="C24" s="1">
        <v>18986086.814610001</v>
      </c>
      <c r="D24" s="2">
        <v>41214</v>
      </c>
      <c r="E24" s="2">
        <v>35436.216249538054</v>
      </c>
      <c r="F24" s="3">
        <v>764464</v>
      </c>
      <c r="G24" s="30">
        <v>53.91228363925574</v>
      </c>
    </row>
    <row r="25" spans="2:7" s="9" customFormat="1" ht="20.25" customHeight="1" x14ac:dyDescent="0.2">
      <c r="B25" s="8" t="s">
        <v>45</v>
      </c>
      <c r="C25" s="1">
        <v>13782707.98928</v>
      </c>
      <c r="D25" s="2">
        <v>28849</v>
      </c>
      <c r="E25" s="2">
        <v>37286.945458077156</v>
      </c>
      <c r="F25" s="3">
        <v>495629</v>
      </c>
      <c r="G25" s="30">
        <v>57.369053599903694</v>
      </c>
    </row>
    <row r="26" spans="2:7" s="9" customFormat="1" ht="20.25" customHeight="1" x14ac:dyDescent="0.2">
      <c r="B26" s="10" t="s">
        <v>18</v>
      </c>
      <c r="C26" s="1">
        <v>19912128.517220002</v>
      </c>
      <c r="D26" s="2">
        <v>34508</v>
      </c>
      <c r="E26" s="2">
        <v>44471.543832603078</v>
      </c>
      <c r="F26" s="3">
        <v>347593</v>
      </c>
      <c r="G26" s="30">
        <v>98.641226952211355</v>
      </c>
    </row>
    <row r="27" spans="2:7" s="9" customFormat="1" ht="20.25" customHeight="1" x14ac:dyDescent="0.2">
      <c r="B27" s="8" t="s">
        <v>19</v>
      </c>
      <c r="C27" s="1">
        <v>79258269.999999985</v>
      </c>
      <c r="D27" s="2">
        <v>141473</v>
      </c>
      <c r="E27" s="2">
        <v>45281.06123537902</v>
      </c>
      <c r="F27" s="3">
        <v>3481514</v>
      </c>
      <c r="G27" s="30">
        <v>38.593267182036321</v>
      </c>
    </row>
    <row r="28" spans="2:7" s="9" customFormat="1" ht="20.25" customHeight="1" x14ac:dyDescent="0.2">
      <c r="B28" s="10" t="s">
        <v>34</v>
      </c>
      <c r="C28" s="1">
        <v>17121000</v>
      </c>
      <c r="D28" s="2">
        <v>58448</v>
      </c>
      <c r="E28" s="2">
        <v>22532.991070639302</v>
      </c>
      <c r="F28" s="3">
        <v>958251</v>
      </c>
      <c r="G28" s="30">
        <v>60.994074969223441</v>
      </c>
    </row>
    <row r="29" spans="2:7" s="9" customFormat="1" ht="20.25" customHeight="1" x14ac:dyDescent="0.2">
      <c r="B29" s="10" t="s">
        <v>20</v>
      </c>
      <c r="C29" s="1">
        <v>43251948.000000007</v>
      </c>
      <c r="D29" s="2">
        <v>90364</v>
      </c>
      <c r="E29" s="2">
        <v>36818.158834470465</v>
      </c>
      <c r="F29" s="3">
        <v>1654388</v>
      </c>
      <c r="G29" s="30">
        <v>54.621406828386085</v>
      </c>
    </row>
    <row r="30" spans="2:7" s="9" customFormat="1" ht="20.25" customHeight="1" thickBot="1" x14ac:dyDescent="0.25">
      <c r="B30" s="10" t="s">
        <v>33</v>
      </c>
      <c r="C30" s="2">
        <v>12912490.000000002</v>
      </c>
      <c r="D30" s="2">
        <v>19066</v>
      </c>
      <c r="E30" s="2">
        <v>52023.217314387264</v>
      </c>
      <c r="F30" s="3">
        <v>164944</v>
      </c>
      <c r="G30" s="30">
        <v>114.93597827141333</v>
      </c>
    </row>
    <row r="31" spans="2:7" s="11" customFormat="1" ht="26.25" customHeight="1" thickBot="1" x14ac:dyDescent="0.25">
      <c r="B31" s="26" t="s">
        <v>21</v>
      </c>
      <c r="C31" s="27">
        <f>SUM(C7:C30)</f>
        <v>1112162019.2784228</v>
      </c>
      <c r="D31" s="27">
        <f>SUM(D7:D30)</f>
        <v>2193239</v>
      </c>
      <c r="E31" s="27">
        <f t="shared" ref="E31" si="0">C31/D31/13*1000</f>
        <v>39006.658444373221</v>
      </c>
      <c r="F31" s="28">
        <f>+SUM(F7:F30)</f>
        <v>44494502</v>
      </c>
      <c r="G31" s="31">
        <f t="shared" ref="G31" si="1">D31/F31*1000</f>
        <v>49.29235976166224</v>
      </c>
    </row>
    <row r="32" spans="2:7" ht="8.25" customHeight="1" x14ac:dyDescent="0.2">
      <c r="B32" s="12"/>
      <c r="E32" s="13"/>
      <c r="G32" s="14"/>
    </row>
    <row r="33" spans="1:7" x14ac:dyDescent="0.2">
      <c r="B33" s="40" t="s">
        <v>43</v>
      </c>
      <c r="C33" s="40"/>
      <c r="D33" s="40"/>
      <c r="E33" s="40"/>
      <c r="F33" s="40"/>
      <c r="G33" s="40"/>
    </row>
    <row r="34" spans="1:7" x14ac:dyDescent="0.2">
      <c r="A34" s="15"/>
      <c r="B34" s="34" t="s">
        <v>44</v>
      </c>
      <c r="C34" s="34"/>
      <c r="D34" s="34"/>
      <c r="E34" s="34"/>
      <c r="F34" s="34"/>
      <c r="G34" s="34"/>
    </row>
    <row r="35" spans="1:7" x14ac:dyDescent="0.2">
      <c r="A35" s="15"/>
      <c r="B35" s="34"/>
      <c r="C35" s="34"/>
      <c r="D35" s="34"/>
      <c r="E35" s="34"/>
      <c r="F35" s="34"/>
      <c r="G35" s="34"/>
    </row>
    <row r="36" spans="1:7" x14ac:dyDescent="0.2">
      <c r="A36" s="15"/>
      <c r="B36" s="33" t="s">
        <v>52</v>
      </c>
      <c r="C36" s="29"/>
      <c r="D36" s="29"/>
      <c r="E36" s="29"/>
      <c r="F36" s="29"/>
      <c r="G36" s="29"/>
    </row>
    <row r="37" spans="1:7" x14ac:dyDescent="0.2">
      <c r="B37" s="39" t="s">
        <v>32</v>
      </c>
      <c r="C37" s="39"/>
      <c r="D37" s="39"/>
      <c r="E37" s="39"/>
      <c r="F37" s="39"/>
      <c r="G37" s="39"/>
    </row>
    <row r="38" spans="1:7" x14ac:dyDescent="0.2">
      <c r="B38" s="34"/>
      <c r="C38" s="34"/>
      <c r="D38" s="34"/>
      <c r="E38" s="34"/>
      <c r="F38" s="34"/>
      <c r="G38" s="34"/>
    </row>
    <row r="39" spans="1:7" x14ac:dyDescent="0.2">
      <c r="B39" s="34"/>
      <c r="C39" s="34"/>
      <c r="D39" s="34"/>
      <c r="E39" s="34"/>
      <c r="F39" s="34"/>
      <c r="G39" s="34"/>
    </row>
    <row r="40" spans="1:7" x14ac:dyDescent="0.2">
      <c r="B40" s="34"/>
      <c r="C40" s="34"/>
      <c r="D40" s="34"/>
      <c r="E40" s="34"/>
      <c r="F40" s="34"/>
      <c r="G40" s="34"/>
    </row>
    <row r="41" spans="1:7" x14ac:dyDescent="0.2">
      <c r="B41" s="34"/>
      <c r="C41" s="34"/>
      <c r="D41" s="34"/>
      <c r="E41" s="34"/>
      <c r="F41" s="34"/>
      <c r="G41" s="34"/>
    </row>
    <row r="42" spans="1:7" x14ac:dyDescent="0.2">
      <c r="B42" s="34"/>
      <c r="C42" s="34"/>
      <c r="D42" s="34"/>
      <c r="E42" s="34"/>
      <c r="F42" s="34"/>
      <c r="G42" s="34"/>
    </row>
  </sheetData>
  <mergeCells count="13">
    <mergeCell ref="B1:G1"/>
    <mergeCell ref="B2:G2"/>
    <mergeCell ref="B3:G3"/>
    <mergeCell ref="B4:G4"/>
    <mergeCell ref="B37:G37"/>
    <mergeCell ref="B33:G33"/>
    <mergeCell ref="B34:G34"/>
    <mergeCell ref="B35:G35"/>
    <mergeCell ref="B38:G38"/>
    <mergeCell ref="B39:G39"/>
    <mergeCell ref="B40:G40"/>
    <mergeCell ref="B41:G41"/>
    <mergeCell ref="B42:G4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42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4" customWidth="1"/>
    <col min="2" max="2" width="27.140625" style="4" customWidth="1"/>
    <col min="3" max="3" width="16.42578125" style="4" bestFit="1" customWidth="1"/>
    <col min="4" max="4" width="13.140625" style="4" customWidth="1"/>
    <col min="5" max="5" width="15.5703125" style="4" customWidth="1"/>
    <col min="6" max="6" width="16.42578125" style="4" bestFit="1" customWidth="1"/>
    <col min="7" max="7" width="15.5703125" style="4" customWidth="1"/>
    <col min="8" max="16384" width="11.42578125" style="4"/>
  </cols>
  <sheetData>
    <row r="1" spans="2:7" ht="64.5" customHeight="1" x14ac:dyDescent="0.2">
      <c r="B1" s="35"/>
      <c r="C1" s="35"/>
      <c r="D1" s="35"/>
      <c r="E1" s="35"/>
      <c r="F1" s="35"/>
      <c r="G1" s="35"/>
    </row>
    <row r="2" spans="2:7" s="9" customFormat="1" ht="18.75" customHeight="1" x14ac:dyDescent="0.2">
      <c r="B2" s="36" t="s">
        <v>41</v>
      </c>
      <c r="C2" s="36"/>
      <c r="D2" s="36"/>
      <c r="E2" s="36"/>
      <c r="F2" s="36"/>
      <c r="G2" s="36"/>
    </row>
    <row r="3" spans="2:7" s="6" customFormat="1" ht="18.75" customHeight="1" x14ac:dyDescent="0.2">
      <c r="B3" s="37" t="s">
        <v>40</v>
      </c>
      <c r="C3" s="37"/>
      <c r="D3" s="37"/>
      <c r="E3" s="37"/>
      <c r="F3" s="37"/>
      <c r="G3" s="37"/>
    </row>
    <row r="4" spans="2:7" ht="18.75" customHeight="1" x14ac:dyDescent="0.2">
      <c r="B4" s="38" t="s">
        <v>28</v>
      </c>
      <c r="C4" s="38"/>
      <c r="D4" s="38"/>
      <c r="E4" s="38"/>
      <c r="F4" s="38"/>
      <c r="G4" s="38"/>
    </row>
    <row r="5" spans="2:7" ht="13.5" thickBot="1" x14ac:dyDescent="0.25"/>
    <row r="6" spans="2:7" s="6" customFormat="1" ht="53.25" customHeight="1" thickBot="1" x14ac:dyDescent="0.25">
      <c r="B6" s="21" t="s">
        <v>22</v>
      </c>
      <c r="C6" s="22" t="s">
        <v>36</v>
      </c>
      <c r="D6" s="23" t="s">
        <v>0</v>
      </c>
      <c r="E6" s="22" t="s">
        <v>35</v>
      </c>
      <c r="F6" s="24" t="s">
        <v>42</v>
      </c>
      <c r="G6" s="25" t="s">
        <v>1</v>
      </c>
    </row>
    <row r="7" spans="2:7" s="9" customFormat="1" ht="20.25" customHeight="1" x14ac:dyDescent="0.2">
      <c r="B7" s="8" t="s">
        <v>2</v>
      </c>
      <c r="C7" s="1">
        <v>162083302.93251002</v>
      </c>
      <c r="D7" s="2">
        <v>178780</v>
      </c>
      <c r="E7" s="2">
        <v>63836.843539414898</v>
      </c>
      <c r="F7" s="3">
        <v>3072029</v>
      </c>
      <c r="G7" s="30">
        <v>63.576733393125529</v>
      </c>
    </row>
    <row r="8" spans="2:7" s="9" customFormat="1" ht="20.25" customHeight="1" x14ac:dyDescent="0.2">
      <c r="B8" s="10" t="s">
        <v>23</v>
      </c>
      <c r="C8" s="1">
        <v>433584000</v>
      </c>
      <c r="D8" s="2">
        <v>624822</v>
      </c>
      <c r="E8" s="2">
        <v>53292.295027062406</v>
      </c>
      <c r="F8" s="3">
        <v>17370144</v>
      </c>
      <c r="G8" s="30">
        <v>35.963172402792601</v>
      </c>
    </row>
    <row r="9" spans="2:7" s="9" customFormat="1" ht="20.25" customHeight="1" x14ac:dyDescent="0.2">
      <c r="B9" s="10" t="s">
        <v>3</v>
      </c>
      <c r="C9" s="1">
        <v>27627671.668632198</v>
      </c>
      <c r="D9" s="2">
        <v>45083</v>
      </c>
      <c r="E9" s="2">
        <v>47139.842356802066</v>
      </c>
      <c r="F9" s="3">
        <v>411824</v>
      </c>
      <c r="G9" s="30">
        <v>109.47152181514433</v>
      </c>
    </row>
    <row r="10" spans="2:7" s="9" customFormat="1" ht="20.25" customHeight="1" x14ac:dyDescent="0.2">
      <c r="B10" s="10" t="s">
        <v>4</v>
      </c>
      <c r="C10" s="1">
        <v>110466466.99999999</v>
      </c>
      <c r="D10" s="2">
        <v>128042</v>
      </c>
      <c r="E10" s="2">
        <v>66144.264938399167</v>
      </c>
      <c r="F10" s="3">
        <v>3722332</v>
      </c>
      <c r="G10" s="30">
        <v>34.322032532294273</v>
      </c>
    </row>
    <row r="11" spans="2:7" s="9" customFormat="1" ht="20.25" customHeight="1" x14ac:dyDescent="0.2">
      <c r="B11" s="10" t="s">
        <v>5</v>
      </c>
      <c r="C11" s="1">
        <v>37380610</v>
      </c>
      <c r="D11" s="2">
        <v>60832</v>
      </c>
      <c r="E11" s="2">
        <v>45597.716736264425</v>
      </c>
      <c r="F11" s="3">
        <v>1111052</v>
      </c>
      <c r="G11" s="30">
        <v>56.569809513866133</v>
      </c>
    </row>
    <row r="12" spans="2:7" s="9" customFormat="1" ht="20.25" customHeight="1" x14ac:dyDescent="0.2">
      <c r="B12" s="10" t="s">
        <v>6</v>
      </c>
      <c r="C12" s="1">
        <v>50613955.297250003</v>
      </c>
      <c r="D12" s="2">
        <v>84918</v>
      </c>
      <c r="E12" s="2">
        <v>45193.229676081894</v>
      </c>
      <c r="F12" s="3">
        <v>1192616</v>
      </c>
      <c r="G12" s="30">
        <v>71.202298141229022</v>
      </c>
    </row>
    <row r="13" spans="2:7" s="9" customFormat="1" ht="20.25" customHeight="1" x14ac:dyDescent="0.2">
      <c r="B13" s="10" t="s">
        <v>7</v>
      </c>
      <c r="C13" s="1">
        <v>49948588.557949997</v>
      </c>
      <c r="D13" s="2">
        <v>45860</v>
      </c>
      <c r="E13" s="2">
        <v>82769.67661762613</v>
      </c>
      <c r="F13" s="3">
        <v>608729</v>
      </c>
      <c r="G13" s="30">
        <v>75.542647056407688</v>
      </c>
    </row>
    <row r="14" spans="2:7" s="9" customFormat="1" ht="20.25" customHeight="1" x14ac:dyDescent="0.2">
      <c r="B14" s="10" t="s">
        <v>8</v>
      </c>
      <c r="C14" s="1">
        <v>63737010</v>
      </c>
      <c r="D14" s="2">
        <v>86216</v>
      </c>
      <c r="E14" s="2">
        <v>56686.574544753472</v>
      </c>
      <c r="F14" s="3">
        <v>1373270</v>
      </c>
      <c r="G14" s="30">
        <v>62.754593051621313</v>
      </c>
    </row>
    <row r="15" spans="2:7" s="9" customFormat="1" ht="20.25" customHeight="1" x14ac:dyDescent="0.2">
      <c r="B15" s="10" t="s">
        <v>9</v>
      </c>
      <c r="C15" s="1">
        <v>27534264.02335</v>
      </c>
      <c r="D15" s="2">
        <v>38294</v>
      </c>
      <c r="E15" s="2">
        <v>55347.830970958814</v>
      </c>
      <c r="F15" s="3">
        <v>600229</v>
      </c>
      <c r="G15" s="30">
        <v>63.224258296972216</v>
      </c>
    </row>
    <row r="16" spans="2:7" s="9" customFormat="1" ht="20.25" customHeight="1" x14ac:dyDescent="0.2">
      <c r="B16" s="10" t="s">
        <v>10</v>
      </c>
      <c r="C16" s="1">
        <v>34013529.99557998</v>
      </c>
      <c r="D16" s="2">
        <v>61652</v>
      </c>
      <c r="E16" s="2">
        <v>41978.330513980603</v>
      </c>
      <c r="F16" s="3">
        <v>762440</v>
      </c>
      <c r="G16" s="30">
        <v>81.748071979434442</v>
      </c>
    </row>
    <row r="17" spans="2:7" s="9" customFormat="1" ht="20.25" customHeight="1" x14ac:dyDescent="0.2">
      <c r="B17" s="8" t="s">
        <v>46</v>
      </c>
      <c r="C17" s="1">
        <v>23633867.307588298</v>
      </c>
      <c r="D17" s="2">
        <v>27319</v>
      </c>
      <c r="E17" s="2">
        <v>68298.77710131972</v>
      </c>
      <c r="F17" s="3">
        <v>355422</v>
      </c>
      <c r="G17" s="30">
        <v>74.322917545903181</v>
      </c>
    </row>
    <row r="18" spans="2:7" s="9" customFormat="1" ht="20.25" customHeight="1" x14ac:dyDescent="0.2">
      <c r="B18" s="10" t="s">
        <v>11</v>
      </c>
      <c r="C18" s="1">
        <v>20764481.518959902</v>
      </c>
      <c r="D18" s="2">
        <v>39116</v>
      </c>
      <c r="E18" s="2">
        <v>39116.124042483265</v>
      </c>
      <c r="F18" s="3">
        <v>388386</v>
      </c>
      <c r="G18" s="30">
        <v>105.13767231568593</v>
      </c>
    </row>
    <row r="19" spans="2:7" s="9" customFormat="1" ht="20.25" customHeight="1" x14ac:dyDescent="0.2">
      <c r="B19" s="8" t="s">
        <v>12</v>
      </c>
      <c r="C19" s="2">
        <v>69586755.049630031</v>
      </c>
      <c r="D19" s="2">
        <v>91128</v>
      </c>
      <c r="E19" s="2">
        <v>58739.424361516445</v>
      </c>
      <c r="F19" s="3">
        <v>1969982</v>
      </c>
      <c r="G19" s="30">
        <v>46.258472581644575</v>
      </c>
    </row>
    <row r="20" spans="2:7" s="9" customFormat="1" ht="20.25" customHeight="1" x14ac:dyDescent="0.2">
      <c r="B20" s="10" t="s">
        <v>13</v>
      </c>
      <c r="C20" s="1">
        <v>33066473.164631665</v>
      </c>
      <c r="D20" s="2">
        <v>60581</v>
      </c>
      <c r="E20" s="2">
        <v>41956.897932541979</v>
      </c>
      <c r="F20" s="3">
        <v>1247362</v>
      </c>
      <c r="G20" s="30">
        <v>48.200923228381171</v>
      </c>
    </row>
    <row r="21" spans="2:7" s="9" customFormat="1" ht="20.25" customHeight="1" x14ac:dyDescent="0.2">
      <c r="B21" s="10" t="s">
        <v>14</v>
      </c>
      <c r="C21" s="1">
        <v>70425459.88370499</v>
      </c>
      <c r="D21" s="2">
        <v>66843</v>
      </c>
      <c r="E21" s="2">
        <v>80986.40304867216</v>
      </c>
      <c r="F21" s="3">
        <v>655501</v>
      </c>
      <c r="G21" s="30">
        <v>101.60320121555878</v>
      </c>
    </row>
    <row r="22" spans="2:7" s="9" customFormat="1" ht="20.25" customHeight="1" x14ac:dyDescent="0.2">
      <c r="B22" s="10" t="s">
        <v>15</v>
      </c>
      <c r="C22" s="1">
        <v>40575767.900210001</v>
      </c>
      <c r="D22" s="2">
        <v>59004</v>
      </c>
      <c r="E22" s="2">
        <v>52898.32749306436</v>
      </c>
      <c r="F22" s="3">
        <v>738060</v>
      </c>
      <c r="G22" s="30">
        <v>79.944719941468179</v>
      </c>
    </row>
    <row r="23" spans="2:7" s="9" customFormat="1" ht="20.25" customHeight="1" x14ac:dyDescent="0.2">
      <c r="B23" s="10" t="s">
        <v>26</v>
      </c>
      <c r="C23" s="1">
        <v>49244557.672600001</v>
      </c>
      <c r="D23" s="2">
        <v>71836</v>
      </c>
      <c r="E23" s="2">
        <v>52731.500188979895</v>
      </c>
      <c r="F23" s="3">
        <v>1406584</v>
      </c>
      <c r="G23" s="30">
        <v>51.071555863946507</v>
      </c>
    </row>
    <row r="24" spans="2:7" s="9" customFormat="1" ht="20.25" customHeight="1" x14ac:dyDescent="0.2">
      <c r="B24" s="10" t="s">
        <v>17</v>
      </c>
      <c r="C24" s="1">
        <v>29372570.702119995</v>
      </c>
      <c r="D24" s="2">
        <v>43521</v>
      </c>
      <c r="E24" s="2">
        <v>51915.822603977205</v>
      </c>
      <c r="F24" s="3">
        <v>772876</v>
      </c>
      <c r="G24" s="30">
        <v>56.310456011054811</v>
      </c>
    </row>
    <row r="25" spans="2:7" s="9" customFormat="1" ht="20.25" customHeight="1" x14ac:dyDescent="0.2">
      <c r="B25" s="8" t="s">
        <v>45</v>
      </c>
      <c r="C25" s="1">
        <v>21181233.917339999</v>
      </c>
      <c r="D25" s="2">
        <v>34476</v>
      </c>
      <c r="E25" s="2">
        <v>47259.707795255556</v>
      </c>
      <c r="F25" s="3">
        <v>502000</v>
      </c>
      <c r="G25" s="30">
        <v>68.677290836653384</v>
      </c>
    </row>
    <row r="26" spans="2:7" s="9" customFormat="1" ht="20.25" customHeight="1" x14ac:dyDescent="0.2">
      <c r="B26" s="10" t="s">
        <v>18</v>
      </c>
      <c r="C26" s="1">
        <v>28007613.62232</v>
      </c>
      <c r="D26" s="2">
        <v>34780</v>
      </c>
      <c r="E26" s="2">
        <v>61862.721068544939</v>
      </c>
      <c r="F26" s="3">
        <v>356647</v>
      </c>
      <c r="G26" s="30">
        <v>97.208163814640244</v>
      </c>
    </row>
    <row r="27" spans="2:7" s="9" customFormat="1" ht="20.25" customHeight="1" x14ac:dyDescent="0.2">
      <c r="B27" s="8" t="s">
        <v>19</v>
      </c>
      <c r="C27" s="1">
        <v>118805560</v>
      </c>
      <c r="D27" s="2">
        <v>140515</v>
      </c>
      <c r="E27" s="2">
        <v>65007.016578980823</v>
      </c>
      <c r="F27" s="3">
        <v>3509113</v>
      </c>
      <c r="G27" s="30">
        <v>39.982534997685555</v>
      </c>
    </row>
    <row r="28" spans="2:7" s="9" customFormat="1" ht="20.25" customHeight="1" x14ac:dyDescent="0.2">
      <c r="B28" s="10" t="s">
        <v>34</v>
      </c>
      <c r="C28" s="1">
        <v>24735730.000000004</v>
      </c>
      <c r="D28" s="2">
        <v>59237</v>
      </c>
      <c r="E28" s="2">
        <v>32120.493854520817</v>
      </c>
      <c r="F28" s="3">
        <v>968309</v>
      </c>
      <c r="G28" s="30">
        <v>61.176580340917347</v>
      </c>
    </row>
    <row r="29" spans="2:7" s="9" customFormat="1" ht="20.25" customHeight="1" x14ac:dyDescent="0.2">
      <c r="B29" s="10" t="s">
        <v>20</v>
      </c>
      <c r="C29" s="1">
        <v>70236473</v>
      </c>
      <c r="D29" s="2">
        <v>89184</v>
      </c>
      <c r="E29" s="2">
        <v>60580.436125141445</v>
      </c>
      <c r="F29" s="3">
        <v>1674622</v>
      </c>
      <c r="G29" s="30">
        <v>53.256197518007049</v>
      </c>
    </row>
    <row r="30" spans="2:7" s="9" customFormat="1" ht="20.25" customHeight="1" thickBot="1" x14ac:dyDescent="0.25">
      <c r="B30" s="10" t="s">
        <v>33</v>
      </c>
      <c r="C30" s="2">
        <v>17128986.414070003</v>
      </c>
      <c r="D30" s="2">
        <v>19109</v>
      </c>
      <c r="E30" s="2">
        <v>68902.557252197905</v>
      </c>
      <c r="F30" s="3">
        <v>169183</v>
      </c>
      <c r="G30" s="30">
        <v>112.32807078725403</v>
      </c>
    </row>
    <row r="31" spans="2:7" s="11" customFormat="1" ht="26.25" customHeight="1" thickBot="1" x14ac:dyDescent="0.25">
      <c r="B31" s="26" t="s">
        <v>21</v>
      </c>
      <c r="C31" s="28">
        <f>+SUM(C7:C30)</f>
        <v>1613754929.6284468</v>
      </c>
      <c r="D31" s="28">
        <f>+SUM(D7:D30)</f>
        <v>2191148</v>
      </c>
      <c r="E31" s="27">
        <f t="shared" ref="E31" si="0">C31/D31/13*1000</f>
        <v>56652.948402756731</v>
      </c>
      <c r="F31" s="28">
        <f>+SUM(F7:F30)</f>
        <v>44938712</v>
      </c>
      <c r="G31" s="31">
        <f t="shared" ref="G31" si="1">D31/F31*1000</f>
        <v>48.758584803231564</v>
      </c>
    </row>
    <row r="32" spans="2:7" ht="8.25" customHeight="1" x14ac:dyDescent="0.2">
      <c r="B32" s="12"/>
      <c r="E32" s="13"/>
      <c r="G32" s="14"/>
    </row>
    <row r="33" spans="1:7" x14ac:dyDescent="0.2">
      <c r="B33" s="40" t="s">
        <v>43</v>
      </c>
      <c r="C33" s="40"/>
      <c r="D33" s="40"/>
      <c r="E33" s="40"/>
      <c r="F33" s="40"/>
      <c r="G33" s="40"/>
    </row>
    <row r="34" spans="1:7" x14ac:dyDescent="0.2">
      <c r="A34" s="15"/>
      <c r="B34" s="34" t="s">
        <v>44</v>
      </c>
      <c r="C34" s="34"/>
      <c r="D34" s="34"/>
      <c r="E34" s="34"/>
      <c r="F34" s="34"/>
      <c r="G34" s="34"/>
    </row>
    <row r="35" spans="1:7" x14ac:dyDescent="0.2">
      <c r="A35" s="15"/>
      <c r="B35" s="34"/>
      <c r="C35" s="34"/>
      <c r="D35" s="34"/>
      <c r="E35" s="34"/>
      <c r="F35" s="34"/>
      <c r="G35" s="34"/>
    </row>
    <row r="36" spans="1:7" x14ac:dyDescent="0.2">
      <c r="A36" s="15"/>
      <c r="B36" s="33" t="s">
        <v>52</v>
      </c>
      <c r="C36" s="29"/>
      <c r="D36" s="29"/>
      <c r="E36" s="29"/>
      <c r="F36" s="29"/>
      <c r="G36" s="29"/>
    </row>
    <row r="37" spans="1:7" x14ac:dyDescent="0.2">
      <c r="B37" s="39" t="s">
        <v>32</v>
      </c>
      <c r="C37" s="39"/>
      <c r="D37" s="39"/>
      <c r="E37" s="39"/>
      <c r="F37" s="39"/>
      <c r="G37" s="39"/>
    </row>
    <row r="38" spans="1:7" x14ac:dyDescent="0.2">
      <c r="B38" s="34"/>
      <c r="C38" s="34"/>
      <c r="D38" s="34"/>
      <c r="E38" s="34"/>
      <c r="F38" s="34"/>
      <c r="G38" s="34"/>
    </row>
    <row r="39" spans="1:7" x14ac:dyDescent="0.2">
      <c r="B39" s="34"/>
      <c r="C39" s="34"/>
      <c r="D39" s="34"/>
      <c r="E39" s="34"/>
      <c r="F39" s="34"/>
      <c r="G39" s="34"/>
    </row>
    <row r="40" spans="1:7" x14ac:dyDescent="0.2">
      <c r="B40" s="34"/>
      <c r="C40" s="34"/>
      <c r="D40" s="34"/>
      <c r="E40" s="34"/>
      <c r="F40" s="34"/>
      <c r="G40" s="34"/>
    </row>
    <row r="41" spans="1:7" x14ac:dyDescent="0.2">
      <c r="B41" s="34"/>
      <c r="C41" s="34"/>
      <c r="D41" s="34"/>
      <c r="E41" s="34"/>
      <c r="F41" s="34"/>
      <c r="G41" s="34"/>
    </row>
    <row r="42" spans="1:7" x14ac:dyDescent="0.2">
      <c r="B42" s="34"/>
      <c r="C42" s="34"/>
      <c r="D42" s="34"/>
      <c r="E42" s="34"/>
      <c r="F42" s="34"/>
      <c r="G42" s="34"/>
    </row>
  </sheetData>
  <mergeCells count="13">
    <mergeCell ref="B1:G1"/>
    <mergeCell ref="B2:G2"/>
    <mergeCell ref="B3:G3"/>
    <mergeCell ref="B4:G4"/>
    <mergeCell ref="B37:G37"/>
    <mergeCell ref="B33:G33"/>
    <mergeCell ref="B34:G34"/>
    <mergeCell ref="B35:G35"/>
    <mergeCell ref="B38:G38"/>
    <mergeCell ref="B39:G39"/>
    <mergeCell ref="B40:G40"/>
    <mergeCell ref="B41:G41"/>
    <mergeCell ref="B42:G4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G41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4" customWidth="1"/>
    <col min="2" max="2" width="27.140625" style="4" customWidth="1"/>
    <col min="3" max="3" width="16.42578125" style="4" bestFit="1" customWidth="1"/>
    <col min="4" max="4" width="13.140625" style="4" customWidth="1"/>
    <col min="5" max="5" width="15.5703125" style="4" customWidth="1"/>
    <col min="6" max="6" width="16.42578125" style="4" bestFit="1" customWidth="1"/>
    <col min="7" max="7" width="15.5703125" style="4" customWidth="1"/>
    <col min="8" max="16384" width="11.42578125" style="4"/>
  </cols>
  <sheetData>
    <row r="1" spans="2:7" ht="64.5" customHeight="1" x14ac:dyDescent="0.2">
      <c r="B1" s="35"/>
      <c r="C1" s="35"/>
      <c r="D1" s="35"/>
      <c r="E1" s="35"/>
      <c r="F1" s="35"/>
      <c r="G1" s="35"/>
    </row>
    <row r="2" spans="2:7" s="9" customFormat="1" ht="18.75" customHeight="1" x14ac:dyDescent="0.2">
      <c r="B2" s="36" t="s">
        <v>41</v>
      </c>
      <c r="C2" s="36"/>
      <c r="D2" s="36"/>
      <c r="E2" s="36"/>
      <c r="F2" s="36"/>
      <c r="G2" s="36"/>
    </row>
    <row r="3" spans="2:7" s="6" customFormat="1" ht="18.75" customHeight="1" x14ac:dyDescent="0.2">
      <c r="B3" s="37" t="s">
        <v>40</v>
      </c>
      <c r="C3" s="37"/>
      <c r="D3" s="37"/>
      <c r="E3" s="37"/>
      <c r="F3" s="37"/>
      <c r="G3" s="37"/>
    </row>
    <row r="4" spans="2:7" ht="18.75" customHeight="1" x14ac:dyDescent="0.2">
      <c r="B4" s="38" t="s">
        <v>25</v>
      </c>
      <c r="C4" s="38"/>
      <c r="D4" s="38"/>
      <c r="E4" s="38"/>
      <c r="F4" s="38"/>
      <c r="G4" s="38"/>
    </row>
    <row r="5" spans="2:7" ht="13.5" thickBot="1" x14ac:dyDescent="0.25"/>
    <row r="6" spans="2:7" s="6" customFormat="1" ht="53.25" customHeight="1" thickBot="1" x14ac:dyDescent="0.25">
      <c r="B6" s="21" t="s">
        <v>22</v>
      </c>
      <c r="C6" s="22" t="s">
        <v>36</v>
      </c>
      <c r="D6" s="23" t="s">
        <v>0</v>
      </c>
      <c r="E6" s="22" t="s">
        <v>35</v>
      </c>
      <c r="F6" s="24" t="s">
        <v>42</v>
      </c>
      <c r="G6" s="25" t="s">
        <v>1</v>
      </c>
    </row>
    <row r="7" spans="2:7" s="9" customFormat="1" ht="20.25" customHeight="1" x14ac:dyDescent="0.2">
      <c r="B7" s="8" t="s">
        <v>2</v>
      </c>
      <c r="C7" s="1">
        <v>226338989.11342001</v>
      </c>
      <c r="D7" s="2">
        <v>183557</v>
      </c>
      <c r="E7" s="2">
        <f t="shared" ref="E7:E31" si="0">C7/D7/13*1000</f>
        <v>94851.688959086707</v>
      </c>
      <c r="F7" s="3">
        <v>3075646</v>
      </c>
      <c r="G7" s="30">
        <f>D7/F7*1000</f>
        <v>59.680795514178158</v>
      </c>
    </row>
    <row r="8" spans="2:7" s="9" customFormat="1" ht="20.25" customHeight="1" x14ac:dyDescent="0.2">
      <c r="B8" s="10" t="s">
        <v>23</v>
      </c>
      <c r="C8" s="1">
        <v>584630470.26193929</v>
      </c>
      <c r="D8" s="2">
        <v>609632</v>
      </c>
      <c r="E8" s="2">
        <f t="shared" si="0"/>
        <v>73768.395746177674</v>
      </c>
      <c r="F8" s="3">
        <v>17541141</v>
      </c>
      <c r="G8" s="30">
        <f>D8/F8*1000</f>
        <v>34.754409647582214</v>
      </c>
    </row>
    <row r="9" spans="2:7" s="7" customFormat="1" ht="20.25" customHeight="1" x14ac:dyDescent="0.2">
      <c r="B9" s="8" t="s">
        <v>47</v>
      </c>
      <c r="C9" s="1">
        <v>36048287.916420013</v>
      </c>
      <c r="D9" s="2">
        <v>44858</v>
      </c>
      <c r="E9" s="2">
        <f t="shared" si="0"/>
        <v>61816.069025368961</v>
      </c>
      <c r="F9" s="3">
        <v>415438</v>
      </c>
      <c r="G9" s="30">
        <f t="shared" ref="G9:G31" si="1">D9/F9*1000</f>
        <v>107.97760435973599</v>
      </c>
    </row>
    <row r="10" spans="2:7" s="9" customFormat="1" ht="20.25" customHeight="1" x14ac:dyDescent="0.2">
      <c r="B10" s="10" t="s">
        <v>4</v>
      </c>
      <c r="C10" s="1">
        <v>145134971.98754486</v>
      </c>
      <c r="D10" s="2">
        <v>125568</v>
      </c>
      <c r="E10" s="2">
        <f t="shared" si="0"/>
        <v>88909.822681149075</v>
      </c>
      <c r="F10" s="3">
        <v>3760450</v>
      </c>
      <c r="G10" s="30">
        <f t="shared" si="1"/>
        <v>33.391748327992659</v>
      </c>
    </row>
    <row r="11" spans="2:7" s="9" customFormat="1" ht="20.25" customHeight="1" x14ac:dyDescent="0.2">
      <c r="B11" s="10" t="s">
        <v>5</v>
      </c>
      <c r="C11" s="1">
        <v>53090840</v>
      </c>
      <c r="D11" s="2">
        <v>58001</v>
      </c>
      <c r="E11" s="2">
        <f t="shared" si="0"/>
        <v>70411.040658450191</v>
      </c>
      <c r="F11" s="3">
        <v>1120801</v>
      </c>
      <c r="G11" s="30">
        <f t="shared" si="1"/>
        <v>51.749596940045556</v>
      </c>
    </row>
    <row r="12" spans="2:7" s="9" customFormat="1" ht="20.25" customHeight="1" x14ac:dyDescent="0.2">
      <c r="B12" s="10" t="s">
        <v>6</v>
      </c>
      <c r="C12" s="1">
        <v>68693771.878313541</v>
      </c>
      <c r="D12" s="2">
        <v>80576</v>
      </c>
      <c r="E12" s="2">
        <f t="shared" si="0"/>
        <v>65579.531105190268</v>
      </c>
      <c r="F12" s="3">
        <v>1204541</v>
      </c>
      <c r="G12" s="30">
        <f t="shared" si="1"/>
        <v>66.893530398716194</v>
      </c>
    </row>
    <row r="13" spans="2:7" s="9" customFormat="1" ht="20.25" customHeight="1" x14ac:dyDescent="0.2">
      <c r="B13" s="10" t="s">
        <v>7</v>
      </c>
      <c r="C13" s="1">
        <v>68479134.375049993</v>
      </c>
      <c r="D13" s="2">
        <v>44266</v>
      </c>
      <c r="E13" s="2">
        <f t="shared" si="0"/>
        <v>118999.36116110992</v>
      </c>
      <c r="F13" s="3">
        <v>618994</v>
      </c>
      <c r="G13" s="30">
        <f t="shared" si="1"/>
        <v>71.512809494114649</v>
      </c>
    </row>
    <row r="14" spans="2:7" s="9" customFormat="1" ht="20.25" customHeight="1" x14ac:dyDescent="0.2">
      <c r="B14" s="10" t="s">
        <v>8</v>
      </c>
      <c r="C14" s="1">
        <v>82497280</v>
      </c>
      <c r="D14" s="2">
        <v>85916</v>
      </c>
      <c r="E14" s="2">
        <f t="shared" si="0"/>
        <v>73862.198139864704</v>
      </c>
      <c r="F14" s="3">
        <v>1385961</v>
      </c>
      <c r="G14" s="30">
        <f t="shared" si="1"/>
        <v>61.990200301451488</v>
      </c>
    </row>
    <row r="15" spans="2:7" s="9" customFormat="1" ht="20.25" customHeight="1" x14ac:dyDescent="0.2">
      <c r="B15" s="10" t="s">
        <v>9</v>
      </c>
      <c r="C15" s="1">
        <v>36743396.889230005</v>
      </c>
      <c r="D15" s="2">
        <v>38386</v>
      </c>
      <c r="E15" s="2">
        <f t="shared" si="0"/>
        <v>73631.4058595682</v>
      </c>
      <c r="F15" s="3">
        <v>605193</v>
      </c>
      <c r="G15" s="30">
        <f t="shared" si="1"/>
        <v>63.427699923825948</v>
      </c>
    </row>
    <row r="16" spans="2:7" s="7" customFormat="1" ht="20.25" customHeight="1" x14ac:dyDescent="0.2">
      <c r="B16" s="8" t="s">
        <v>10</v>
      </c>
      <c r="C16" s="1">
        <v>43061127.551900037</v>
      </c>
      <c r="D16" s="2">
        <v>63228</v>
      </c>
      <c r="E16" s="2">
        <f t="shared" si="0"/>
        <v>52388.094310578126</v>
      </c>
      <c r="F16" s="3">
        <v>770881</v>
      </c>
      <c r="G16" s="30">
        <f t="shared" si="1"/>
        <v>82.020441546749751</v>
      </c>
    </row>
    <row r="17" spans="2:7" s="9" customFormat="1" ht="20.25" customHeight="1" x14ac:dyDescent="0.2">
      <c r="B17" s="8" t="s">
        <v>46</v>
      </c>
      <c r="C17" s="1">
        <v>32015187.182474643</v>
      </c>
      <c r="D17" s="2">
        <v>27345</v>
      </c>
      <c r="E17" s="2">
        <f t="shared" si="0"/>
        <v>90060.585348114953</v>
      </c>
      <c r="F17" s="3">
        <v>358428</v>
      </c>
      <c r="G17" s="30">
        <f t="shared" si="1"/>
        <v>76.29147276440456</v>
      </c>
    </row>
    <row r="18" spans="2:7" s="9" customFormat="1" ht="20.25" customHeight="1" x14ac:dyDescent="0.2">
      <c r="B18" s="10" t="s">
        <v>11</v>
      </c>
      <c r="C18" s="1">
        <v>25925614.549529996</v>
      </c>
      <c r="D18" s="2">
        <v>39766</v>
      </c>
      <c r="E18" s="2">
        <f t="shared" si="0"/>
        <v>50150.330490155859</v>
      </c>
      <c r="F18" s="3">
        <v>393531</v>
      </c>
      <c r="G18" s="30">
        <f t="shared" si="1"/>
        <v>101.04921848596425</v>
      </c>
    </row>
    <row r="19" spans="2:7" s="9" customFormat="1" ht="20.25" customHeight="1" x14ac:dyDescent="0.2">
      <c r="B19" s="8" t="s">
        <v>12</v>
      </c>
      <c r="C19" s="2">
        <v>87469416.965530008</v>
      </c>
      <c r="D19" s="2">
        <v>89442</v>
      </c>
      <c r="E19" s="2">
        <f t="shared" si="0"/>
        <v>75226.590300486947</v>
      </c>
      <c r="F19" s="3">
        <v>1990338</v>
      </c>
      <c r="G19" s="30">
        <f t="shared" si="1"/>
        <v>44.938095941493351</v>
      </c>
    </row>
    <row r="20" spans="2:7" s="9" customFormat="1" ht="20.25" customHeight="1" x14ac:dyDescent="0.2">
      <c r="B20" s="10" t="s">
        <v>13</v>
      </c>
      <c r="C20" s="1">
        <v>47631914.501980208</v>
      </c>
      <c r="D20" s="2">
        <v>63721</v>
      </c>
      <c r="E20" s="2">
        <f t="shared" si="0"/>
        <v>57500.563758089913</v>
      </c>
      <c r="F20" s="3">
        <v>1261294</v>
      </c>
      <c r="G20" s="30">
        <f t="shared" si="1"/>
        <v>50.520338636352825</v>
      </c>
    </row>
    <row r="21" spans="2:7" s="9" customFormat="1" ht="20.25" customHeight="1" x14ac:dyDescent="0.2">
      <c r="B21" s="10" t="s">
        <v>14</v>
      </c>
      <c r="C21" s="1">
        <v>92844976.764592558</v>
      </c>
      <c r="D21" s="2">
        <v>65849</v>
      </c>
      <c r="E21" s="2">
        <f t="shared" si="0"/>
        <v>108459.06983529047</v>
      </c>
      <c r="F21" s="3">
        <v>664057</v>
      </c>
      <c r="G21" s="30">
        <f t="shared" si="1"/>
        <v>99.161668350759044</v>
      </c>
    </row>
    <row r="22" spans="2:7" s="9" customFormat="1" ht="20.25" customHeight="1" x14ac:dyDescent="0.2">
      <c r="B22" s="10" t="s">
        <v>15</v>
      </c>
      <c r="C22" s="1">
        <v>54852706.599999994</v>
      </c>
      <c r="D22" s="2">
        <v>58505</v>
      </c>
      <c r="E22" s="2">
        <f t="shared" si="0"/>
        <v>72120.997679356791</v>
      </c>
      <c r="F22" s="3">
        <v>747610</v>
      </c>
      <c r="G22" s="30">
        <f t="shared" si="1"/>
        <v>78.256042589050452</v>
      </c>
    </row>
    <row r="23" spans="2:7" s="7" customFormat="1" ht="20.25" customHeight="1" x14ac:dyDescent="0.2">
      <c r="B23" s="8" t="s">
        <v>26</v>
      </c>
      <c r="C23" s="1">
        <v>71374247.205660015</v>
      </c>
      <c r="D23" s="2">
        <v>69667</v>
      </c>
      <c r="E23" s="2">
        <f t="shared" si="0"/>
        <v>78808.140269104362</v>
      </c>
      <c r="F23" s="3">
        <v>1424397</v>
      </c>
      <c r="G23" s="30">
        <f t="shared" si="1"/>
        <v>48.909819383219705</v>
      </c>
    </row>
    <row r="24" spans="2:7" s="9" customFormat="1" ht="20.25" customHeight="1" x14ac:dyDescent="0.2">
      <c r="B24" s="10" t="s">
        <v>17</v>
      </c>
      <c r="C24" s="1">
        <v>41132599.807120003</v>
      </c>
      <c r="D24" s="2">
        <v>43630</v>
      </c>
      <c r="E24" s="2">
        <f t="shared" si="0"/>
        <v>72519.966514078173</v>
      </c>
      <c r="F24" s="3">
        <v>781217</v>
      </c>
      <c r="G24" s="30">
        <f t="shared" si="1"/>
        <v>55.848759051582341</v>
      </c>
    </row>
    <row r="25" spans="2:7" s="9" customFormat="1" ht="20.25" customHeight="1" x14ac:dyDescent="0.2">
      <c r="B25" s="8" t="s">
        <v>45</v>
      </c>
      <c r="C25" s="1">
        <v>30476019.10757</v>
      </c>
      <c r="D25" s="2">
        <v>34633</v>
      </c>
      <c r="E25" s="2">
        <f t="shared" si="0"/>
        <v>67690.040196366739</v>
      </c>
      <c r="F25" s="3">
        <v>508328</v>
      </c>
      <c r="G25" s="30">
        <f t="shared" si="1"/>
        <v>68.131206622495711</v>
      </c>
    </row>
    <row r="26" spans="2:7" s="9" customFormat="1" ht="20.25" customHeight="1" x14ac:dyDescent="0.2">
      <c r="B26" s="10" t="s">
        <v>18</v>
      </c>
      <c r="C26" s="1">
        <v>35808606.631790005</v>
      </c>
      <c r="D26" s="2">
        <v>34871</v>
      </c>
      <c r="E26" s="2">
        <f t="shared" si="0"/>
        <v>78991.373991149812</v>
      </c>
      <c r="F26" s="3">
        <v>365698</v>
      </c>
      <c r="G26" s="30">
        <f t="shared" si="1"/>
        <v>95.354636886173836</v>
      </c>
    </row>
    <row r="27" spans="2:7" s="9" customFormat="1" ht="20.25" customHeight="1" x14ac:dyDescent="0.2">
      <c r="B27" s="8" t="s">
        <v>19</v>
      </c>
      <c r="C27" s="1">
        <v>150021346.25861001</v>
      </c>
      <c r="D27" s="2">
        <v>139111</v>
      </c>
      <c r="E27" s="2">
        <f t="shared" si="0"/>
        <v>82956.082253413566</v>
      </c>
      <c r="F27" s="3">
        <v>3536418</v>
      </c>
      <c r="G27" s="30">
        <f t="shared" si="1"/>
        <v>39.336696057988618</v>
      </c>
    </row>
    <row r="28" spans="2:7" s="9" customFormat="1" ht="20.25" customHeight="1" x14ac:dyDescent="0.2">
      <c r="B28" s="10" t="s">
        <v>34</v>
      </c>
      <c r="C28" s="1">
        <v>31932462.313533921</v>
      </c>
      <c r="D28" s="2">
        <v>58742</v>
      </c>
      <c r="E28" s="2">
        <f t="shared" si="0"/>
        <v>41815.792020823676</v>
      </c>
      <c r="F28" s="3">
        <v>978313</v>
      </c>
      <c r="G28" s="30">
        <f t="shared" si="1"/>
        <v>60.044178090243101</v>
      </c>
    </row>
    <row r="29" spans="2:7" s="9" customFormat="1" ht="20.25" customHeight="1" x14ac:dyDescent="0.2">
      <c r="B29" s="10" t="s">
        <v>20</v>
      </c>
      <c r="C29" s="1">
        <v>90370686</v>
      </c>
      <c r="D29" s="2">
        <v>90515</v>
      </c>
      <c r="E29" s="2">
        <f t="shared" si="0"/>
        <v>76800.43341732565</v>
      </c>
      <c r="F29" s="3">
        <v>1694656</v>
      </c>
      <c r="G29" s="30">
        <f t="shared" si="1"/>
        <v>53.412019902564296</v>
      </c>
    </row>
    <row r="30" spans="2:7" s="9" customFormat="1" ht="20.25" customHeight="1" thickBot="1" x14ac:dyDescent="0.25">
      <c r="B30" s="10" t="s">
        <v>33</v>
      </c>
      <c r="C30" s="2">
        <v>23586341.961831689</v>
      </c>
      <c r="D30" s="2">
        <v>19732</v>
      </c>
      <c r="E30" s="2">
        <f t="shared" si="0"/>
        <v>91948.813960266372</v>
      </c>
      <c r="F30" s="3">
        <v>173432</v>
      </c>
      <c r="G30" s="30">
        <f t="shared" si="1"/>
        <v>113.773698048803</v>
      </c>
    </row>
    <row r="31" spans="2:7" s="11" customFormat="1" ht="26.25" customHeight="1" thickBot="1" x14ac:dyDescent="0.25">
      <c r="B31" s="26" t="s">
        <v>21</v>
      </c>
      <c r="C31" s="27">
        <f>SUM(C7:C30)</f>
        <v>2160160395.8240409</v>
      </c>
      <c r="D31" s="27">
        <f>SUM(D7:D30)</f>
        <v>2169517</v>
      </c>
      <c r="E31" s="27">
        <f t="shared" si="0"/>
        <v>76591.326223374592</v>
      </c>
      <c r="F31" s="28">
        <f>+SUM(F7:F30)</f>
        <v>45376763</v>
      </c>
      <c r="G31" s="31">
        <f t="shared" si="1"/>
        <v>47.811189176275086</v>
      </c>
    </row>
    <row r="32" spans="2:7" ht="8.25" customHeight="1" x14ac:dyDescent="0.2">
      <c r="B32" s="12"/>
      <c r="E32" s="13"/>
      <c r="G32" s="14"/>
    </row>
    <row r="33" spans="2:7" x14ac:dyDescent="0.2">
      <c r="B33" s="40" t="s">
        <v>43</v>
      </c>
      <c r="C33" s="40"/>
      <c r="D33" s="40"/>
      <c r="E33" s="40"/>
      <c r="F33" s="40"/>
      <c r="G33" s="40"/>
    </row>
    <row r="34" spans="2:7" x14ac:dyDescent="0.2">
      <c r="B34" s="34" t="s">
        <v>44</v>
      </c>
      <c r="C34" s="34"/>
      <c r="D34" s="34"/>
      <c r="E34" s="34"/>
      <c r="F34" s="34"/>
      <c r="G34" s="34"/>
    </row>
    <row r="35" spans="2:7" x14ac:dyDescent="0.2">
      <c r="B35" s="34"/>
      <c r="C35" s="34"/>
      <c r="D35" s="34"/>
      <c r="E35" s="34"/>
      <c r="F35" s="34"/>
      <c r="G35" s="34"/>
    </row>
    <row r="36" spans="2:7" x14ac:dyDescent="0.2">
      <c r="B36" s="33" t="s">
        <v>52</v>
      </c>
      <c r="C36" s="29"/>
      <c r="D36" s="29"/>
      <c r="E36" s="29"/>
      <c r="F36" s="29"/>
      <c r="G36" s="29"/>
    </row>
    <row r="37" spans="2:7" x14ac:dyDescent="0.2">
      <c r="B37" s="39" t="s">
        <v>32</v>
      </c>
      <c r="C37" s="39"/>
      <c r="D37" s="39"/>
      <c r="E37" s="39"/>
      <c r="F37" s="39"/>
      <c r="G37" s="39"/>
    </row>
    <row r="38" spans="2:7" x14ac:dyDescent="0.2">
      <c r="B38" s="34"/>
      <c r="C38" s="34"/>
      <c r="D38" s="34"/>
      <c r="E38" s="34"/>
      <c r="F38" s="34"/>
      <c r="G38" s="34"/>
    </row>
    <row r="39" spans="2:7" x14ac:dyDescent="0.2">
      <c r="B39" s="34"/>
      <c r="C39" s="34"/>
      <c r="D39" s="34"/>
      <c r="E39" s="34"/>
      <c r="F39" s="34"/>
      <c r="G39" s="34"/>
    </row>
    <row r="40" spans="2:7" x14ac:dyDescent="0.2">
      <c r="B40" s="34"/>
      <c r="C40" s="34"/>
      <c r="D40" s="34"/>
      <c r="E40" s="34"/>
      <c r="F40" s="34"/>
      <c r="G40" s="34"/>
    </row>
    <row r="41" spans="2:7" x14ac:dyDescent="0.2">
      <c r="B41" s="34"/>
      <c r="C41" s="34"/>
      <c r="D41" s="34"/>
      <c r="E41" s="34"/>
      <c r="F41" s="34"/>
      <c r="G41" s="34"/>
    </row>
  </sheetData>
  <mergeCells count="12">
    <mergeCell ref="B38:G38"/>
    <mergeCell ref="B39:G39"/>
    <mergeCell ref="B40:G40"/>
    <mergeCell ref="B41:G41"/>
    <mergeCell ref="B1:G1"/>
    <mergeCell ref="B2:G2"/>
    <mergeCell ref="B3:G3"/>
    <mergeCell ref="B4:G4"/>
    <mergeCell ref="B37:G37"/>
    <mergeCell ref="B33:G33"/>
    <mergeCell ref="B34:G34"/>
    <mergeCell ref="B35:G3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41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4" customWidth="1"/>
    <col min="2" max="2" width="27.140625" style="4" customWidth="1"/>
    <col min="3" max="3" width="16.42578125" style="4" bestFit="1" customWidth="1"/>
    <col min="4" max="4" width="13.140625" style="4" customWidth="1"/>
    <col min="5" max="5" width="15.5703125" style="4" customWidth="1"/>
    <col min="6" max="6" width="16.42578125" style="4" bestFit="1" customWidth="1"/>
    <col min="7" max="7" width="15.5703125" style="4" customWidth="1"/>
    <col min="8" max="16384" width="11.42578125" style="4"/>
  </cols>
  <sheetData>
    <row r="1" spans="2:7" ht="64.5" customHeight="1" x14ac:dyDescent="0.2">
      <c r="B1" s="35"/>
      <c r="C1" s="35"/>
      <c r="D1" s="35"/>
      <c r="E1" s="35"/>
      <c r="F1" s="35"/>
      <c r="G1" s="35"/>
    </row>
    <row r="2" spans="2:7" s="9" customFormat="1" ht="18.75" customHeight="1" x14ac:dyDescent="0.2">
      <c r="B2" s="36" t="s">
        <v>41</v>
      </c>
      <c r="C2" s="36"/>
      <c r="D2" s="36"/>
      <c r="E2" s="36"/>
      <c r="F2" s="36"/>
      <c r="G2" s="36"/>
    </row>
    <row r="3" spans="2:7" s="6" customFormat="1" ht="18.75" customHeight="1" x14ac:dyDescent="0.2">
      <c r="B3" s="37" t="s">
        <v>40</v>
      </c>
      <c r="C3" s="37"/>
      <c r="D3" s="37"/>
      <c r="E3" s="37"/>
      <c r="F3" s="37"/>
      <c r="G3" s="37"/>
    </row>
    <row r="4" spans="2:7" ht="18.75" customHeight="1" x14ac:dyDescent="0.2">
      <c r="B4" s="38" t="s">
        <v>29</v>
      </c>
      <c r="C4" s="38"/>
      <c r="D4" s="38"/>
      <c r="E4" s="38"/>
      <c r="F4" s="38"/>
      <c r="G4" s="38"/>
    </row>
    <row r="5" spans="2:7" ht="13.5" thickBot="1" x14ac:dyDescent="0.25"/>
    <row r="6" spans="2:7" s="6" customFormat="1" ht="53.25" customHeight="1" thickBot="1" x14ac:dyDescent="0.25">
      <c r="B6" s="21" t="s">
        <v>22</v>
      </c>
      <c r="C6" s="22" t="s">
        <v>36</v>
      </c>
      <c r="D6" s="23" t="s">
        <v>0</v>
      </c>
      <c r="E6" s="22" t="s">
        <v>35</v>
      </c>
      <c r="F6" s="24" t="s">
        <v>42</v>
      </c>
      <c r="G6" s="25" t="s">
        <v>1</v>
      </c>
    </row>
    <row r="7" spans="2:7" s="9" customFormat="1" ht="20.25" customHeight="1" x14ac:dyDescent="0.2">
      <c r="B7" s="8" t="s">
        <v>38</v>
      </c>
      <c r="C7" s="1">
        <v>305858040</v>
      </c>
      <c r="D7" s="2">
        <v>197715</v>
      </c>
      <c r="E7" s="2">
        <f t="shared" ref="E7:E31" si="0">C7/D7/13*1000</f>
        <v>118997.25128827625</v>
      </c>
      <c r="F7" s="3">
        <v>3078836</v>
      </c>
      <c r="G7" s="30">
        <f>D7/F7*1000</f>
        <v>64.21745101070664</v>
      </c>
    </row>
    <row r="8" spans="2:7" s="9" customFormat="1" ht="20.25" customHeight="1" x14ac:dyDescent="0.2">
      <c r="B8" s="10" t="s">
        <v>23</v>
      </c>
      <c r="C8" s="1">
        <v>910980941.50550044</v>
      </c>
      <c r="D8" s="2">
        <v>640846</v>
      </c>
      <c r="E8" s="2">
        <f t="shared" si="0"/>
        <v>109348.35676415963</v>
      </c>
      <c r="F8" s="3">
        <v>17709598</v>
      </c>
      <c r="G8" s="30">
        <f>D8/F8*1000</f>
        <v>36.18636628567176</v>
      </c>
    </row>
    <row r="9" spans="2:7" s="7" customFormat="1" ht="20.25" customHeight="1" x14ac:dyDescent="0.2">
      <c r="B9" s="8" t="s">
        <v>47</v>
      </c>
      <c r="C9" s="1">
        <v>58004278.270082958</v>
      </c>
      <c r="D9" s="2">
        <v>44409</v>
      </c>
      <c r="E9" s="2">
        <f t="shared" si="0"/>
        <v>100472.14661976516</v>
      </c>
      <c r="F9" s="3">
        <v>418991</v>
      </c>
      <c r="G9" s="30">
        <f t="shared" ref="G9:G31" si="1">D9/F9*1000</f>
        <v>105.99034346799812</v>
      </c>
    </row>
    <row r="10" spans="2:7" s="9" customFormat="1" ht="20.25" customHeight="1" x14ac:dyDescent="0.2">
      <c r="B10" s="10" t="s">
        <v>4</v>
      </c>
      <c r="C10" s="1">
        <v>209927571.19626006</v>
      </c>
      <c r="D10" s="2">
        <v>127679</v>
      </c>
      <c r="E10" s="2">
        <f t="shared" si="0"/>
        <v>126475.57317495141</v>
      </c>
      <c r="F10" s="3">
        <v>3798261</v>
      </c>
      <c r="G10" s="30">
        <f t="shared" si="1"/>
        <v>33.615120182630946</v>
      </c>
    </row>
    <row r="11" spans="2:7" s="9" customFormat="1" ht="20.25" customHeight="1" x14ac:dyDescent="0.2">
      <c r="B11" s="10" t="s">
        <v>5</v>
      </c>
      <c r="C11" s="1">
        <v>76159749.999999985</v>
      </c>
      <c r="D11" s="2">
        <v>62035</v>
      </c>
      <c r="E11" s="2">
        <f t="shared" si="0"/>
        <v>94437.693361687867</v>
      </c>
      <c r="F11" s="3">
        <v>1130320</v>
      </c>
      <c r="G11" s="30">
        <f t="shared" si="1"/>
        <v>54.882688088328969</v>
      </c>
    </row>
    <row r="12" spans="2:7" s="9" customFormat="1" ht="20.25" customHeight="1" x14ac:dyDescent="0.2">
      <c r="B12" s="10" t="s">
        <v>6</v>
      </c>
      <c r="C12" s="1">
        <v>101036091.55521125</v>
      </c>
      <c r="D12" s="2">
        <v>79376</v>
      </c>
      <c r="E12" s="2">
        <f t="shared" si="0"/>
        <v>97913.815797074145</v>
      </c>
      <c r="F12" s="3">
        <v>1216247</v>
      </c>
      <c r="G12" s="30">
        <f t="shared" si="1"/>
        <v>65.263059230567478</v>
      </c>
    </row>
    <row r="13" spans="2:7" s="9" customFormat="1" ht="20.25" customHeight="1" x14ac:dyDescent="0.2">
      <c r="B13" s="10" t="s">
        <v>7</v>
      </c>
      <c r="C13" s="1">
        <v>79225856.772890002</v>
      </c>
      <c r="D13" s="2">
        <v>45587</v>
      </c>
      <c r="E13" s="2">
        <f t="shared" si="0"/>
        <v>133684.96884720845</v>
      </c>
      <c r="F13" s="3">
        <v>629181</v>
      </c>
      <c r="G13" s="30">
        <f t="shared" si="1"/>
        <v>72.454508321134938</v>
      </c>
    </row>
    <row r="14" spans="2:7" s="9" customFormat="1" ht="20.25" customHeight="1" x14ac:dyDescent="0.2">
      <c r="B14" s="10" t="s">
        <v>8</v>
      </c>
      <c r="C14" s="1">
        <v>122136750.00000001</v>
      </c>
      <c r="D14" s="2">
        <v>89789</v>
      </c>
      <c r="E14" s="2">
        <f t="shared" si="0"/>
        <v>104635.69719436252</v>
      </c>
      <c r="F14" s="3">
        <v>1398510</v>
      </c>
      <c r="G14" s="30">
        <f t="shared" si="1"/>
        <v>64.20333068766044</v>
      </c>
    </row>
    <row r="15" spans="2:7" s="9" customFormat="1" ht="20.25" customHeight="1" x14ac:dyDescent="0.2">
      <c r="B15" s="10" t="s">
        <v>9</v>
      </c>
      <c r="C15" s="1">
        <v>56516595.446850002</v>
      </c>
      <c r="D15" s="2">
        <v>39699</v>
      </c>
      <c r="E15" s="2">
        <f t="shared" si="0"/>
        <v>109509.8218843916</v>
      </c>
      <c r="F15" s="3">
        <v>610019</v>
      </c>
      <c r="G15" s="30">
        <f t="shared" si="1"/>
        <v>65.078300839809913</v>
      </c>
    </row>
    <row r="16" spans="2:7" s="7" customFormat="1" ht="20.25" customHeight="1" x14ac:dyDescent="0.2">
      <c r="B16" s="8" t="s">
        <v>10</v>
      </c>
      <c r="C16" s="1">
        <v>64208611.891779974</v>
      </c>
      <c r="D16" s="2">
        <v>66379</v>
      </c>
      <c r="E16" s="2">
        <f t="shared" si="0"/>
        <v>74407.93009348413</v>
      </c>
      <c r="F16" s="3">
        <v>779212</v>
      </c>
      <c r="G16" s="30">
        <f t="shared" si="1"/>
        <v>85.187343110732385</v>
      </c>
    </row>
    <row r="17" spans="2:7" s="9" customFormat="1" ht="20.25" customHeight="1" x14ac:dyDescent="0.2">
      <c r="B17" s="8" t="s">
        <v>46</v>
      </c>
      <c r="C17" s="1">
        <v>49757700.429260179</v>
      </c>
      <c r="D17" s="2">
        <v>27438</v>
      </c>
      <c r="E17" s="2">
        <f t="shared" si="0"/>
        <v>139496.88088182078</v>
      </c>
      <c r="F17" s="3">
        <v>361394</v>
      </c>
      <c r="G17" s="30">
        <f t="shared" si="1"/>
        <v>75.92267718888526</v>
      </c>
    </row>
    <row r="18" spans="2:7" s="9" customFormat="1" ht="20.25" customHeight="1" x14ac:dyDescent="0.2">
      <c r="B18" s="10" t="s">
        <v>11</v>
      </c>
      <c r="C18" s="1">
        <v>38860518.714280099</v>
      </c>
      <c r="D18" s="2">
        <v>42785</v>
      </c>
      <c r="E18" s="2">
        <f t="shared" si="0"/>
        <v>69867.258860096728</v>
      </c>
      <c r="F18" s="3">
        <v>398648</v>
      </c>
      <c r="G18" s="30">
        <f t="shared" si="1"/>
        <v>107.32525937669323</v>
      </c>
    </row>
    <row r="19" spans="2:7" s="9" customFormat="1" ht="20.25" customHeight="1" x14ac:dyDescent="0.2">
      <c r="B19" s="8" t="s">
        <v>12</v>
      </c>
      <c r="C19" s="2">
        <v>112746367.75012</v>
      </c>
      <c r="D19" s="2">
        <v>92211</v>
      </c>
      <c r="E19" s="2">
        <f t="shared" si="0"/>
        <v>94053.827843098974</v>
      </c>
      <c r="F19" s="3">
        <v>2010363</v>
      </c>
      <c r="G19" s="30">
        <f t="shared" si="1"/>
        <v>45.867835808756922</v>
      </c>
    </row>
    <row r="20" spans="2:7" s="9" customFormat="1" ht="20.25" customHeight="1" x14ac:dyDescent="0.2">
      <c r="B20" s="10" t="s">
        <v>13</v>
      </c>
      <c r="C20" s="1">
        <v>88777405.928990006</v>
      </c>
      <c r="D20" s="2">
        <v>66719</v>
      </c>
      <c r="E20" s="2">
        <f t="shared" si="0"/>
        <v>102355.11961070946</v>
      </c>
      <c r="F20" s="3">
        <v>1274992</v>
      </c>
      <c r="G20" s="30">
        <f t="shared" si="1"/>
        <v>52.328955789526525</v>
      </c>
    </row>
    <row r="21" spans="2:7" s="9" customFormat="1" ht="20.25" customHeight="1" x14ac:dyDescent="0.2">
      <c r="B21" s="10" t="s">
        <v>14</v>
      </c>
      <c r="C21" s="1">
        <v>135669253.14557251</v>
      </c>
      <c r="D21" s="2">
        <v>71835</v>
      </c>
      <c r="E21" s="2">
        <f t="shared" si="0"/>
        <v>145278.71366065665</v>
      </c>
      <c r="F21" s="3">
        <v>672461</v>
      </c>
      <c r="G21" s="30">
        <f t="shared" si="1"/>
        <v>106.82403886619447</v>
      </c>
    </row>
    <row r="22" spans="2:7" s="9" customFormat="1" ht="20.25" customHeight="1" x14ac:dyDescent="0.2">
      <c r="B22" s="10" t="s">
        <v>15</v>
      </c>
      <c r="C22" s="1">
        <v>81578435.817000002</v>
      </c>
      <c r="D22" s="2">
        <v>62065</v>
      </c>
      <c r="E22" s="2">
        <f t="shared" si="0"/>
        <v>101107.93995996754</v>
      </c>
      <c r="F22" s="3">
        <v>757052</v>
      </c>
      <c r="G22" s="30">
        <f t="shared" si="1"/>
        <v>81.982479406962796</v>
      </c>
    </row>
    <row r="23" spans="2:7" s="7" customFormat="1" ht="20.25" customHeight="1" x14ac:dyDescent="0.2">
      <c r="B23" s="8" t="s">
        <v>48</v>
      </c>
      <c r="C23" s="1">
        <v>106605762.03066</v>
      </c>
      <c r="D23" s="2">
        <v>70364</v>
      </c>
      <c r="E23" s="2">
        <f t="shared" si="0"/>
        <v>116543.16458881946</v>
      </c>
      <c r="F23" s="3">
        <v>1441988</v>
      </c>
      <c r="G23" s="30">
        <f t="shared" si="1"/>
        <v>48.796522578551276</v>
      </c>
    </row>
    <row r="24" spans="2:7" s="9" customFormat="1" ht="20.25" customHeight="1" x14ac:dyDescent="0.2">
      <c r="B24" s="10" t="s">
        <v>17</v>
      </c>
      <c r="C24" s="1">
        <v>61294342.248740003</v>
      </c>
      <c r="D24" s="2">
        <v>45412</v>
      </c>
      <c r="E24" s="2">
        <f t="shared" si="0"/>
        <v>103826.06808220802</v>
      </c>
      <c r="F24" s="3">
        <v>789489</v>
      </c>
      <c r="G24" s="30">
        <f t="shared" si="1"/>
        <v>57.520750764101841</v>
      </c>
    </row>
    <row r="25" spans="2:7" s="9" customFormat="1" ht="20.25" customHeight="1" x14ac:dyDescent="0.2">
      <c r="B25" s="8" t="s">
        <v>45</v>
      </c>
      <c r="C25" s="1">
        <v>45612421.240310751</v>
      </c>
      <c r="D25" s="2">
        <v>34997</v>
      </c>
      <c r="E25" s="2">
        <f t="shared" si="0"/>
        <v>100255.67299243397</v>
      </c>
      <c r="F25" s="3">
        <v>514610</v>
      </c>
      <c r="G25" s="30">
        <f t="shared" si="1"/>
        <v>68.006840131361614</v>
      </c>
    </row>
    <row r="26" spans="2:7" s="9" customFormat="1" ht="20.25" customHeight="1" x14ac:dyDescent="0.2">
      <c r="B26" s="10" t="s">
        <v>18</v>
      </c>
      <c r="C26" s="1">
        <v>58747007.59322001</v>
      </c>
      <c r="D26" s="2">
        <v>36070</v>
      </c>
      <c r="E26" s="2">
        <f t="shared" si="0"/>
        <v>125284.18586342796</v>
      </c>
      <c r="F26" s="3">
        <v>374756</v>
      </c>
      <c r="G26" s="30">
        <f t="shared" si="1"/>
        <v>96.249292873229521</v>
      </c>
    </row>
    <row r="27" spans="2:7" s="9" customFormat="1" ht="20.25" customHeight="1" x14ac:dyDescent="0.2">
      <c r="B27" s="8" t="s">
        <v>19</v>
      </c>
      <c r="C27" s="1">
        <v>231996890</v>
      </c>
      <c r="D27" s="2">
        <v>141176</v>
      </c>
      <c r="E27" s="2">
        <f t="shared" si="0"/>
        <v>126408.98322225176</v>
      </c>
      <c r="F27" s="3">
        <v>3563390</v>
      </c>
      <c r="G27" s="30">
        <f t="shared" si="1"/>
        <v>39.618453214495183</v>
      </c>
    </row>
    <row r="28" spans="2:7" s="9" customFormat="1" ht="20.25" customHeight="1" x14ac:dyDescent="0.2">
      <c r="B28" s="10" t="s">
        <v>34</v>
      </c>
      <c r="C28" s="1">
        <v>54559170</v>
      </c>
      <c r="D28" s="2">
        <v>59023</v>
      </c>
      <c r="E28" s="2">
        <f t="shared" si="0"/>
        <v>71105.488212548167</v>
      </c>
      <c r="F28" s="3">
        <v>988245</v>
      </c>
      <c r="G28" s="30">
        <f t="shared" si="1"/>
        <v>59.725068176413743</v>
      </c>
    </row>
    <row r="29" spans="2:7" s="9" customFormat="1" ht="20.25" customHeight="1" x14ac:dyDescent="0.2">
      <c r="B29" s="10" t="s">
        <v>20</v>
      </c>
      <c r="C29" s="1">
        <v>130034280</v>
      </c>
      <c r="D29" s="2">
        <v>93083</v>
      </c>
      <c r="E29" s="2">
        <f t="shared" si="0"/>
        <v>107459.33116763452</v>
      </c>
      <c r="F29" s="3">
        <v>1714487</v>
      </c>
      <c r="G29" s="30">
        <f t="shared" si="1"/>
        <v>54.292041876083054</v>
      </c>
    </row>
    <row r="30" spans="2:7" s="9" customFormat="1" ht="20.25" customHeight="1" thickBot="1" x14ac:dyDescent="0.25">
      <c r="B30" s="10" t="s">
        <v>33</v>
      </c>
      <c r="C30" s="2">
        <v>41048469.495666668</v>
      </c>
      <c r="D30" s="2">
        <v>22323</v>
      </c>
      <c r="E30" s="2">
        <f t="shared" si="0"/>
        <v>141449.3829946577</v>
      </c>
      <c r="F30" s="3">
        <v>177697</v>
      </c>
      <c r="G30" s="30">
        <f t="shared" si="1"/>
        <v>125.62395538472792</v>
      </c>
    </row>
    <row r="31" spans="2:7" s="11" customFormat="1" ht="26.25" customHeight="1" thickBot="1" x14ac:dyDescent="0.25">
      <c r="B31" s="26" t="s">
        <v>21</v>
      </c>
      <c r="C31" s="27">
        <f>SUM(C7:C30)</f>
        <v>3221342511.0323954</v>
      </c>
      <c r="D31" s="27">
        <f>SUM(D7:D30)</f>
        <v>2259015</v>
      </c>
      <c r="E31" s="27">
        <f t="shared" si="0"/>
        <v>109691.86914284443</v>
      </c>
      <c r="F31" s="28">
        <f>+SUM(F7:F30)</f>
        <v>45808747</v>
      </c>
      <c r="G31" s="31">
        <f t="shared" si="1"/>
        <v>49.314053492884227</v>
      </c>
    </row>
    <row r="32" spans="2:7" ht="8.25" customHeight="1" x14ac:dyDescent="0.2">
      <c r="B32" s="12"/>
      <c r="E32" s="13"/>
      <c r="G32" s="14"/>
    </row>
    <row r="33" spans="1:7" x14ac:dyDescent="0.2">
      <c r="B33" s="40" t="s">
        <v>43</v>
      </c>
      <c r="C33" s="40"/>
      <c r="D33" s="40"/>
      <c r="E33" s="40"/>
      <c r="F33" s="40"/>
      <c r="G33" s="40"/>
    </row>
    <row r="34" spans="1:7" x14ac:dyDescent="0.2">
      <c r="A34" s="15"/>
      <c r="B34" s="34" t="s">
        <v>44</v>
      </c>
      <c r="C34" s="34"/>
      <c r="D34" s="34"/>
      <c r="E34" s="34"/>
      <c r="F34" s="34"/>
      <c r="G34" s="34"/>
    </row>
    <row r="35" spans="1:7" x14ac:dyDescent="0.2">
      <c r="B35" s="34"/>
      <c r="C35" s="34"/>
      <c r="D35" s="34"/>
      <c r="E35" s="34"/>
      <c r="F35" s="34"/>
      <c r="G35" s="34"/>
    </row>
    <row r="36" spans="1:7" x14ac:dyDescent="0.2">
      <c r="B36" s="33" t="s">
        <v>52</v>
      </c>
      <c r="C36" s="29"/>
      <c r="D36" s="29"/>
      <c r="E36" s="29"/>
      <c r="F36" s="29"/>
      <c r="G36" s="29"/>
    </row>
    <row r="37" spans="1:7" x14ac:dyDescent="0.2">
      <c r="B37" s="39" t="s">
        <v>32</v>
      </c>
      <c r="C37" s="39"/>
      <c r="D37" s="39"/>
      <c r="E37" s="39"/>
      <c r="F37" s="39"/>
      <c r="G37" s="39"/>
    </row>
    <row r="38" spans="1:7" x14ac:dyDescent="0.2">
      <c r="B38" s="34"/>
      <c r="C38" s="34"/>
      <c r="D38" s="34"/>
      <c r="E38" s="34"/>
      <c r="F38" s="34"/>
      <c r="G38" s="34"/>
    </row>
    <row r="39" spans="1:7" x14ac:dyDescent="0.2">
      <c r="B39" s="34"/>
      <c r="C39" s="34"/>
      <c r="D39" s="34"/>
      <c r="E39" s="34"/>
      <c r="F39" s="34"/>
      <c r="G39" s="34"/>
    </row>
    <row r="40" spans="1:7" x14ac:dyDescent="0.2">
      <c r="B40" s="34"/>
      <c r="C40" s="34"/>
      <c r="D40" s="34"/>
      <c r="E40" s="34"/>
      <c r="F40" s="34"/>
      <c r="G40" s="34"/>
    </row>
    <row r="41" spans="1:7" x14ac:dyDescent="0.2">
      <c r="B41" s="34"/>
      <c r="C41" s="34"/>
      <c r="D41" s="34"/>
      <c r="E41" s="34"/>
      <c r="F41" s="34"/>
      <c r="G41" s="34"/>
    </row>
  </sheetData>
  <mergeCells count="12">
    <mergeCell ref="B38:G38"/>
    <mergeCell ref="B39:G39"/>
    <mergeCell ref="B40:G40"/>
    <mergeCell ref="B41:G41"/>
    <mergeCell ref="B1:G1"/>
    <mergeCell ref="B2:G2"/>
    <mergeCell ref="B3:G3"/>
    <mergeCell ref="B4:G4"/>
    <mergeCell ref="B37:G37"/>
    <mergeCell ref="B33:G33"/>
    <mergeCell ref="B34:G34"/>
    <mergeCell ref="B35:G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42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4" customWidth="1"/>
    <col min="2" max="2" width="27.140625" style="4" customWidth="1"/>
    <col min="3" max="3" width="16.42578125" style="4" bestFit="1" customWidth="1"/>
    <col min="4" max="4" width="13.140625" style="4" customWidth="1"/>
    <col min="5" max="5" width="15.5703125" style="4" customWidth="1"/>
    <col min="6" max="6" width="16.42578125" style="4" bestFit="1" customWidth="1"/>
    <col min="7" max="7" width="15.5703125" style="4" customWidth="1"/>
    <col min="8" max="8" width="11.42578125" style="4"/>
    <col min="9" max="9" width="6.85546875" style="4" bestFit="1" customWidth="1"/>
    <col min="10" max="16384" width="11.42578125" style="4"/>
  </cols>
  <sheetData>
    <row r="1" spans="2:9" ht="64.5" customHeight="1" x14ac:dyDescent="0.2">
      <c r="B1" s="35"/>
      <c r="C1" s="35"/>
      <c r="D1" s="35"/>
      <c r="E1" s="35"/>
      <c r="F1" s="35"/>
      <c r="G1" s="35"/>
    </row>
    <row r="2" spans="2:9" s="9" customFormat="1" ht="18.75" customHeight="1" x14ac:dyDescent="0.2">
      <c r="B2" s="36" t="s">
        <v>41</v>
      </c>
      <c r="C2" s="36"/>
      <c r="D2" s="36"/>
      <c r="E2" s="36"/>
      <c r="F2" s="36"/>
      <c r="G2" s="36"/>
    </row>
    <row r="3" spans="2:9" s="6" customFormat="1" ht="18.75" customHeight="1" x14ac:dyDescent="0.2">
      <c r="B3" s="37" t="s">
        <v>40</v>
      </c>
      <c r="C3" s="37"/>
      <c r="D3" s="37"/>
      <c r="E3" s="37"/>
      <c r="F3" s="37"/>
      <c r="G3" s="37"/>
    </row>
    <row r="4" spans="2:9" ht="18.75" customHeight="1" x14ac:dyDescent="0.2">
      <c r="B4" s="38" t="s">
        <v>30</v>
      </c>
      <c r="C4" s="38"/>
      <c r="D4" s="38"/>
      <c r="E4" s="38"/>
      <c r="F4" s="38"/>
      <c r="G4" s="38"/>
    </row>
    <row r="5" spans="2:9" ht="13.5" thickBot="1" x14ac:dyDescent="0.25"/>
    <row r="6" spans="2:9" s="6" customFormat="1" ht="53.25" customHeight="1" thickBot="1" x14ac:dyDescent="0.25">
      <c r="B6" s="21" t="s">
        <v>22</v>
      </c>
      <c r="C6" s="22" t="s">
        <v>36</v>
      </c>
      <c r="D6" s="23" t="s">
        <v>0</v>
      </c>
      <c r="E6" s="22" t="s">
        <v>35</v>
      </c>
      <c r="F6" s="24" t="s">
        <v>42</v>
      </c>
      <c r="G6" s="25" t="s">
        <v>1</v>
      </c>
    </row>
    <row r="7" spans="2:9" s="9" customFormat="1" ht="20.25" customHeight="1" thickBot="1" x14ac:dyDescent="0.25">
      <c r="B7" s="19" t="s">
        <v>2</v>
      </c>
      <c r="C7" s="1">
        <v>528442561.03163993</v>
      </c>
      <c r="D7" s="2">
        <v>194301</v>
      </c>
      <c r="E7" s="2">
        <f t="shared" ref="E7:E31" si="0">C7/D7/13*1000</f>
        <v>209208.53609433101</v>
      </c>
      <c r="F7" s="3">
        <v>3121189</v>
      </c>
      <c r="G7" s="30">
        <f>D7/F7*1000</f>
        <v>62.252237849101732</v>
      </c>
      <c r="I7" s="16"/>
    </row>
    <row r="8" spans="2:9" s="9" customFormat="1" ht="20.25" customHeight="1" thickBot="1" x14ac:dyDescent="0.25">
      <c r="B8" s="17" t="s">
        <v>23</v>
      </c>
      <c r="C8" s="1">
        <v>1645110681.315129</v>
      </c>
      <c r="D8" s="2">
        <v>642828</v>
      </c>
      <c r="E8" s="2">
        <f t="shared" si="0"/>
        <v>196859.77506545946</v>
      </c>
      <c r="F8" s="3">
        <v>17409376</v>
      </c>
      <c r="G8" s="30">
        <f>D8/F8*1000</f>
        <v>36.924241282398633</v>
      </c>
      <c r="I8" s="16"/>
    </row>
    <row r="9" spans="2:9" s="7" customFormat="1" ht="20.25" customHeight="1" thickBot="1" x14ac:dyDescent="0.25">
      <c r="B9" s="18" t="s">
        <v>47</v>
      </c>
      <c r="C9" s="1">
        <v>97105504.075000003</v>
      </c>
      <c r="D9" s="2">
        <v>44187</v>
      </c>
      <c r="E9" s="2">
        <f t="shared" si="0"/>
        <v>169046.41997907494</v>
      </c>
      <c r="F9" s="3">
        <v>434741</v>
      </c>
      <c r="G9" s="30">
        <f t="shared" ref="G9:G31" si="1">D9/F9*1000</f>
        <v>101.63982693143733</v>
      </c>
      <c r="I9" s="16"/>
    </row>
    <row r="10" spans="2:9" s="9" customFormat="1" ht="20.25" customHeight="1" thickBot="1" x14ac:dyDescent="0.25">
      <c r="B10" s="17" t="s">
        <v>4</v>
      </c>
      <c r="C10" s="1">
        <v>371297691.10660982</v>
      </c>
      <c r="D10" s="2">
        <v>127822</v>
      </c>
      <c r="E10" s="2">
        <f t="shared" si="0"/>
        <v>223446.36177148379</v>
      </c>
      <c r="F10" s="3">
        <v>3923244</v>
      </c>
      <c r="G10" s="30">
        <f t="shared" si="1"/>
        <v>32.580690877243427</v>
      </c>
      <c r="I10" s="16"/>
    </row>
    <row r="11" spans="2:9" s="9" customFormat="1" ht="20.25" customHeight="1" thickBot="1" x14ac:dyDescent="0.25">
      <c r="B11" s="17" t="s">
        <v>5</v>
      </c>
      <c r="C11" s="1">
        <v>125504560</v>
      </c>
      <c r="D11" s="2">
        <v>61936</v>
      </c>
      <c r="E11" s="2">
        <f t="shared" si="0"/>
        <v>155873.75553921665</v>
      </c>
      <c r="F11" s="3">
        <v>1189015</v>
      </c>
      <c r="G11" s="30">
        <f t="shared" si="1"/>
        <v>52.090175481385849</v>
      </c>
      <c r="I11" s="16"/>
    </row>
    <row r="12" spans="2:9" s="9" customFormat="1" ht="20.25" customHeight="1" thickBot="1" x14ac:dyDescent="0.25">
      <c r="B12" s="17" t="s">
        <v>6</v>
      </c>
      <c r="C12" s="1">
        <v>193994097.72170204</v>
      </c>
      <c r="D12" s="2">
        <v>82011</v>
      </c>
      <c r="E12" s="2">
        <f t="shared" si="0"/>
        <v>181958.79701100328</v>
      </c>
      <c r="F12" s="3">
        <v>1190747</v>
      </c>
      <c r="G12" s="30">
        <f t="shared" si="1"/>
        <v>68.873572639695922</v>
      </c>
      <c r="I12" s="16"/>
    </row>
    <row r="13" spans="2:9" s="9" customFormat="1" ht="20.25" customHeight="1" thickBot="1" x14ac:dyDescent="0.25">
      <c r="B13" s="17" t="s">
        <v>7</v>
      </c>
      <c r="C13" s="1">
        <v>148559394.00535002</v>
      </c>
      <c r="D13" s="2">
        <v>45387</v>
      </c>
      <c r="E13" s="2">
        <f t="shared" si="0"/>
        <v>251782.35381759607</v>
      </c>
      <c r="F13" s="3">
        <v>597366</v>
      </c>
      <c r="G13" s="30">
        <f t="shared" si="1"/>
        <v>75.978545816132822</v>
      </c>
      <c r="I13" s="16"/>
    </row>
    <row r="14" spans="2:9" s="9" customFormat="1" ht="20.25" customHeight="1" thickBot="1" x14ac:dyDescent="0.25">
      <c r="B14" s="17" t="s">
        <v>8</v>
      </c>
      <c r="C14" s="1">
        <v>236082530</v>
      </c>
      <c r="D14" s="2">
        <v>84789</v>
      </c>
      <c r="E14" s="2">
        <f t="shared" si="0"/>
        <v>214181.02130446894</v>
      </c>
      <c r="F14" s="3">
        <v>1449787</v>
      </c>
      <c r="G14" s="30">
        <f t="shared" si="1"/>
        <v>58.483763476979718</v>
      </c>
      <c r="I14" s="16"/>
    </row>
    <row r="15" spans="2:9" s="9" customFormat="1" ht="20.25" customHeight="1" thickBot="1" x14ac:dyDescent="0.25">
      <c r="B15" s="17" t="s">
        <v>9</v>
      </c>
      <c r="C15" s="1">
        <v>102060514.15299</v>
      </c>
      <c r="D15" s="2">
        <v>40706</v>
      </c>
      <c r="E15" s="2">
        <f t="shared" si="0"/>
        <v>192866.13229006118</v>
      </c>
      <c r="F15" s="3">
        <v>620502</v>
      </c>
      <c r="G15" s="30">
        <f t="shared" si="1"/>
        <v>65.601722476317562</v>
      </c>
      <c r="I15" s="16"/>
    </row>
    <row r="16" spans="2:9" s="7" customFormat="1" ht="20.25" customHeight="1" thickBot="1" x14ac:dyDescent="0.25">
      <c r="B16" s="18" t="s">
        <v>10</v>
      </c>
      <c r="C16" s="1">
        <v>108113969.04218997</v>
      </c>
      <c r="D16" s="2">
        <v>65362</v>
      </c>
      <c r="E16" s="2">
        <f t="shared" si="0"/>
        <v>127236.91375862942</v>
      </c>
      <c r="F16" s="3">
        <v>795372</v>
      </c>
      <c r="G16" s="30">
        <f t="shared" si="1"/>
        <v>82.177899146562865</v>
      </c>
      <c r="I16" s="16"/>
    </row>
    <row r="17" spans="2:9" s="9" customFormat="1" ht="20.25" customHeight="1" thickBot="1" x14ac:dyDescent="0.25">
      <c r="B17" s="8" t="s">
        <v>46</v>
      </c>
      <c r="C17" s="1">
        <v>88868858.27627179</v>
      </c>
      <c r="D17" s="2">
        <v>27525</v>
      </c>
      <c r="E17" s="2">
        <f t="shared" si="0"/>
        <v>248358.43855591925</v>
      </c>
      <c r="F17" s="3">
        <v>373976</v>
      </c>
      <c r="G17" s="30">
        <f t="shared" si="1"/>
        <v>73.600979742015525</v>
      </c>
      <c r="I17" s="16"/>
    </row>
    <row r="18" spans="2:9" s="9" customFormat="1" ht="20.25" customHeight="1" thickBot="1" x14ac:dyDescent="0.25">
      <c r="B18" s="17" t="s">
        <v>11</v>
      </c>
      <c r="C18" s="1">
        <v>73788825.990140036</v>
      </c>
      <c r="D18" s="2">
        <v>43320</v>
      </c>
      <c r="E18" s="2">
        <f t="shared" si="0"/>
        <v>131026.39745390303</v>
      </c>
      <c r="F18" s="3">
        <v>398518</v>
      </c>
      <c r="G18" s="30">
        <f t="shared" si="1"/>
        <v>108.70274366527987</v>
      </c>
      <c r="I18" s="16"/>
    </row>
    <row r="19" spans="2:9" s="9" customFormat="1" ht="20.25" customHeight="1" thickBot="1" x14ac:dyDescent="0.25">
      <c r="B19" s="18" t="s">
        <v>12</v>
      </c>
      <c r="C19" s="2">
        <v>197570132.25244999</v>
      </c>
      <c r="D19" s="2">
        <v>92585</v>
      </c>
      <c r="E19" s="2">
        <f t="shared" si="0"/>
        <v>164148.64698339574</v>
      </c>
      <c r="F19" s="3">
        <v>2032783</v>
      </c>
      <c r="G19" s="30">
        <f t="shared" si="1"/>
        <v>45.545933825696103</v>
      </c>
      <c r="I19" s="16"/>
    </row>
    <row r="20" spans="2:9" s="9" customFormat="1" ht="20.25" customHeight="1" thickBot="1" x14ac:dyDescent="0.25">
      <c r="B20" s="17" t="s">
        <v>13</v>
      </c>
      <c r="C20" s="1">
        <v>153773909.99999997</v>
      </c>
      <c r="D20" s="2">
        <v>66902</v>
      </c>
      <c r="E20" s="2">
        <f t="shared" si="0"/>
        <v>176807.30482933702</v>
      </c>
      <c r="F20" s="3">
        <v>1313583</v>
      </c>
      <c r="G20" s="30">
        <f t="shared" si="1"/>
        <v>50.930927090256191</v>
      </c>
      <c r="I20" s="16"/>
    </row>
    <row r="21" spans="2:9" s="9" customFormat="1" ht="20.25" customHeight="1" thickBot="1" x14ac:dyDescent="0.25">
      <c r="B21" s="17" t="s">
        <v>14</v>
      </c>
      <c r="C21" s="1">
        <v>265837376.03439477</v>
      </c>
      <c r="D21" s="2">
        <v>74802</v>
      </c>
      <c r="E21" s="2">
        <f t="shared" si="0"/>
        <v>273375.43014521903</v>
      </c>
      <c r="F21" s="3">
        <v>689222</v>
      </c>
      <c r="G21" s="30">
        <f t="shared" si="1"/>
        <v>108.53106836403946</v>
      </c>
      <c r="I21" s="16"/>
    </row>
    <row r="22" spans="2:9" s="9" customFormat="1" ht="20.25" customHeight="1" thickBot="1" x14ac:dyDescent="0.25">
      <c r="B22" s="17" t="s">
        <v>15</v>
      </c>
      <c r="C22" s="1">
        <v>149088868.29799998</v>
      </c>
      <c r="D22" s="2">
        <v>61966</v>
      </c>
      <c r="E22" s="2">
        <f t="shared" si="0"/>
        <v>185075.27490013128</v>
      </c>
      <c r="F22" s="3">
        <v>776389</v>
      </c>
      <c r="G22" s="30">
        <f t="shared" si="1"/>
        <v>79.813083389898622</v>
      </c>
      <c r="I22" s="16"/>
    </row>
    <row r="23" spans="2:9" s="7" customFormat="1" ht="20.25" customHeight="1" thickBot="1" x14ac:dyDescent="0.25">
      <c r="B23" s="18" t="s">
        <v>16</v>
      </c>
      <c r="C23" s="1">
        <v>202260693.52764001</v>
      </c>
      <c r="D23" s="2">
        <v>74585</v>
      </c>
      <c r="E23" s="2">
        <f t="shared" si="0"/>
        <v>208601.12471330079</v>
      </c>
      <c r="F23" s="3">
        <v>1467237</v>
      </c>
      <c r="G23" s="30">
        <f t="shared" si="1"/>
        <v>50.83364173613397</v>
      </c>
      <c r="I23" s="16"/>
    </row>
    <row r="24" spans="2:9" s="9" customFormat="1" ht="20.25" customHeight="1" thickBot="1" x14ac:dyDescent="0.25">
      <c r="B24" s="17" t="s">
        <v>17</v>
      </c>
      <c r="C24" s="1">
        <v>121517022.16602001</v>
      </c>
      <c r="D24" s="2">
        <v>46531</v>
      </c>
      <c r="E24" s="2">
        <f t="shared" si="0"/>
        <v>200886.79038791344</v>
      </c>
      <c r="F24" s="3">
        <v>837233</v>
      </c>
      <c r="G24" s="30">
        <f t="shared" si="1"/>
        <v>55.577121303149781</v>
      </c>
      <c r="I24" s="16"/>
    </row>
    <row r="25" spans="2:9" s="9" customFormat="1" ht="20.25" customHeight="1" thickBot="1" x14ac:dyDescent="0.25">
      <c r="B25" s="8" t="s">
        <v>45</v>
      </c>
      <c r="C25" s="1">
        <v>81775296.656058654</v>
      </c>
      <c r="D25" s="2">
        <v>37043</v>
      </c>
      <c r="E25" s="2">
        <f t="shared" si="0"/>
        <v>169813.66074781836</v>
      </c>
      <c r="F25" s="3">
        <v>527530</v>
      </c>
      <c r="G25" s="30">
        <f t="shared" si="1"/>
        <v>70.219703144844843</v>
      </c>
      <c r="I25" s="16"/>
    </row>
    <row r="26" spans="2:9" s="9" customFormat="1" ht="20.25" customHeight="1" thickBot="1" x14ac:dyDescent="0.25">
      <c r="B26" s="17" t="s">
        <v>18</v>
      </c>
      <c r="C26" s="1">
        <v>111450114.28162</v>
      </c>
      <c r="D26" s="2">
        <v>37381</v>
      </c>
      <c r="E26" s="2">
        <f t="shared" si="0"/>
        <v>229343.4021018905</v>
      </c>
      <c r="F26" s="3">
        <v>334397</v>
      </c>
      <c r="G26" s="30">
        <f t="shared" si="1"/>
        <v>111.78628994877346</v>
      </c>
      <c r="I26" s="16"/>
    </row>
    <row r="27" spans="2:9" s="9" customFormat="1" ht="20.25" customHeight="1" thickBot="1" x14ac:dyDescent="0.25">
      <c r="B27" s="18" t="s">
        <v>19</v>
      </c>
      <c r="C27" s="1">
        <v>422101083.85414004</v>
      </c>
      <c r="D27" s="2">
        <v>142838</v>
      </c>
      <c r="E27" s="2">
        <f t="shared" si="0"/>
        <v>227315.65929672885</v>
      </c>
      <c r="F27" s="3">
        <v>3670163</v>
      </c>
      <c r="G27" s="30">
        <f t="shared" si="1"/>
        <v>38.918707425256045</v>
      </c>
      <c r="I27" s="16"/>
    </row>
    <row r="28" spans="2:9" s="9" customFormat="1" ht="20.25" customHeight="1" thickBot="1" x14ac:dyDescent="0.25">
      <c r="B28" s="17" t="s">
        <v>34</v>
      </c>
      <c r="C28" s="1">
        <v>86807250</v>
      </c>
      <c r="D28" s="2">
        <v>58560</v>
      </c>
      <c r="E28" s="2">
        <f t="shared" si="0"/>
        <v>114028.01860025221</v>
      </c>
      <c r="F28" s="3">
        <v>1045276</v>
      </c>
      <c r="G28" s="30">
        <f t="shared" si="1"/>
        <v>56.023480879691107</v>
      </c>
      <c r="I28" s="16"/>
    </row>
    <row r="29" spans="2:9" s="9" customFormat="1" ht="20.25" customHeight="1" thickBot="1" x14ac:dyDescent="0.25">
      <c r="B29" s="17" t="s">
        <v>20</v>
      </c>
      <c r="C29" s="1">
        <v>224031649</v>
      </c>
      <c r="D29" s="2">
        <v>94381</v>
      </c>
      <c r="E29" s="2">
        <f t="shared" si="0"/>
        <v>182591.8751574021</v>
      </c>
      <c r="F29" s="3">
        <v>1758288</v>
      </c>
      <c r="G29" s="30">
        <f t="shared" si="1"/>
        <v>53.677782024332757</v>
      </c>
      <c r="I29" s="16"/>
    </row>
    <row r="30" spans="2:9" s="9" customFormat="1" ht="20.25" customHeight="1" thickBot="1" x14ac:dyDescent="0.25">
      <c r="B30" s="20" t="s">
        <v>33</v>
      </c>
      <c r="C30" s="2">
        <v>78575232.144548327</v>
      </c>
      <c r="D30" s="2">
        <v>24539</v>
      </c>
      <c r="E30" s="2">
        <f t="shared" si="0"/>
        <v>246311.9371817807</v>
      </c>
      <c r="F30" s="3">
        <v>179645</v>
      </c>
      <c r="G30" s="30">
        <f t="shared" si="1"/>
        <v>136.59717776726322</v>
      </c>
      <c r="I30" s="16"/>
    </row>
    <row r="31" spans="2:9" s="11" customFormat="1" ht="26.25" customHeight="1" thickBot="1" x14ac:dyDescent="0.25">
      <c r="B31" s="26" t="s">
        <v>21</v>
      </c>
      <c r="C31" s="27">
        <f>SUM(C7:C30)</f>
        <v>5813717814.9318953</v>
      </c>
      <c r="D31" s="27">
        <f>SUM(D7:D30)</f>
        <v>2272287</v>
      </c>
      <c r="E31" s="27">
        <f t="shared" si="0"/>
        <v>196810.11363752416</v>
      </c>
      <c r="F31" s="28">
        <f>+SUM(F7:F30)</f>
        <v>46135579</v>
      </c>
      <c r="G31" s="31">
        <f t="shared" si="1"/>
        <v>49.252378516805869</v>
      </c>
      <c r="I31" s="16"/>
    </row>
    <row r="32" spans="2:9" ht="8.25" customHeight="1" x14ac:dyDescent="0.2">
      <c r="B32" s="12"/>
      <c r="E32" s="13"/>
      <c r="G32" s="14"/>
    </row>
    <row r="33" spans="1:7" x14ac:dyDescent="0.2">
      <c r="B33" s="40" t="s">
        <v>43</v>
      </c>
      <c r="C33" s="40"/>
      <c r="D33" s="40"/>
      <c r="E33" s="40"/>
      <c r="F33" s="40"/>
      <c r="G33" s="40"/>
    </row>
    <row r="34" spans="1:7" x14ac:dyDescent="0.2">
      <c r="A34" s="15"/>
      <c r="B34" s="34" t="s">
        <v>44</v>
      </c>
      <c r="C34" s="34"/>
      <c r="D34" s="34"/>
      <c r="E34" s="34"/>
      <c r="F34" s="34"/>
      <c r="G34" s="34"/>
    </row>
    <row r="35" spans="1:7" x14ac:dyDescent="0.2">
      <c r="B35" s="34"/>
      <c r="C35" s="34"/>
      <c r="D35" s="34"/>
      <c r="E35" s="34"/>
      <c r="F35" s="34"/>
      <c r="G35" s="34"/>
    </row>
    <row r="36" spans="1:7" x14ac:dyDescent="0.2">
      <c r="B36" s="33" t="s">
        <v>52</v>
      </c>
      <c r="C36" s="29"/>
      <c r="D36" s="29"/>
      <c r="E36" s="29"/>
      <c r="F36" s="29"/>
      <c r="G36" s="29"/>
    </row>
    <row r="37" spans="1:7" x14ac:dyDescent="0.2">
      <c r="B37" s="39" t="s">
        <v>32</v>
      </c>
      <c r="C37" s="39"/>
      <c r="D37" s="39"/>
      <c r="E37" s="39"/>
      <c r="F37" s="39"/>
      <c r="G37" s="39"/>
    </row>
    <row r="38" spans="1:7" x14ac:dyDescent="0.2">
      <c r="B38" s="34"/>
      <c r="C38" s="34"/>
      <c r="D38" s="34"/>
      <c r="E38" s="34"/>
      <c r="F38" s="34"/>
      <c r="G38" s="34"/>
    </row>
    <row r="39" spans="1:7" x14ac:dyDescent="0.2">
      <c r="B39" s="34"/>
      <c r="C39" s="34"/>
      <c r="D39" s="34"/>
      <c r="E39" s="34"/>
      <c r="F39" s="34"/>
      <c r="G39" s="34"/>
    </row>
    <row r="40" spans="1:7" x14ac:dyDescent="0.2">
      <c r="B40" s="34"/>
      <c r="C40" s="34"/>
      <c r="D40" s="34"/>
      <c r="E40" s="34"/>
      <c r="F40" s="34"/>
      <c r="G40" s="34"/>
    </row>
    <row r="41" spans="1:7" x14ac:dyDescent="0.2">
      <c r="B41" s="34"/>
      <c r="C41" s="34"/>
      <c r="D41" s="34"/>
      <c r="E41" s="34"/>
      <c r="F41" s="34"/>
      <c r="G41" s="34"/>
    </row>
    <row r="42" spans="1:7" x14ac:dyDescent="0.2">
      <c r="B42" s="34"/>
      <c r="C42" s="34"/>
      <c r="D42" s="34"/>
      <c r="E42" s="34"/>
      <c r="F42" s="34"/>
      <c r="G42" s="34"/>
    </row>
  </sheetData>
  <mergeCells count="13">
    <mergeCell ref="B1:G1"/>
    <mergeCell ref="B2:G2"/>
    <mergeCell ref="B3:G3"/>
    <mergeCell ref="B4:G4"/>
    <mergeCell ref="B37:G37"/>
    <mergeCell ref="B33:G33"/>
    <mergeCell ref="B35:G35"/>
    <mergeCell ref="B34:G34"/>
    <mergeCell ref="B38:G38"/>
    <mergeCell ref="B39:G39"/>
    <mergeCell ref="B40:G40"/>
    <mergeCell ref="B41:G41"/>
    <mergeCell ref="B42:G4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42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4" customWidth="1"/>
    <col min="2" max="2" width="27.140625" style="4" customWidth="1"/>
    <col min="3" max="3" width="17.7109375" style="4" bestFit="1" customWidth="1"/>
    <col min="4" max="4" width="13.140625" style="4" customWidth="1"/>
    <col min="5" max="5" width="15.5703125" style="4" customWidth="1"/>
    <col min="6" max="6" width="16.42578125" style="5" bestFit="1" customWidth="1"/>
    <col min="7" max="7" width="15.5703125" style="4" customWidth="1"/>
    <col min="8" max="16384" width="11.42578125" style="4"/>
  </cols>
  <sheetData>
    <row r="1" spans="2:7" ht="64.5" customHeight="1" x14ac:dyDescent="0.2">
      <c r="B1" s="35"/>
      <c r="C1" s="35"/>
      <c r="D1" s="35"/>
      <c r="E1" s="35"/>
      <c r="F1" s="35"/>
      <c r="G1" s="35"/>
    </row>
    <row r="2" spans="2:7" s="9" customFormat="1" ht="18.75" customHeight="1" x14ac:dyDescent="0.2">
      <c r="B2" s="36" t="s">
        <v>41</v>
      </c>
      <c r="C2" s="36"/>
      <c r="D2" s="36"/>
      <c r="E2" s="36"/>
      <c r="F2" s="36"/>
      <c r="G2" s="36"/>
    </row>
    <row r="3" spans="2:7" s="6" customFormat="1" ht="18.75" customHeight="1" x14ac:dyDescent="0.2">
      <c r="B3" s="37" t="s">
        <v>40</v>
      </c>
      <c r="C3" s="37"/>
      <c r="D3" s="37"/>
      <c r="E3" s="37"/>
      <c r="F3" s="37"/>
      <c r="G3" s="37"/>
    </row>
    <row r="4" spans="2:7" ht="18.75" customHeight="1" x14ac:dyDescent="0.2">
      <c r="B4" s="38" t="s">
        <v>31</v>
      </c>
      <c r="C4" s="38"/>
      <c r="D4" s="38"/>
      <c r="E4" s="38"/>
      <c r="F4" s="38"/>
      <c r="G4" s="38"/>
    </row>
    <row r="5" spans="2:7" ht="13.5" thickBot="1" x14ac:dyDescent="0.25"/>
    <row r="6" spans="2:7" s="6" customFormat="1" ht="53.25" customHeight="1" thickBot="1" x14ac:dyDescent="0.25">
      <c r="B6" s="21" t="s">
        <v>22</v>
      </c>
      <c r="C6" s="22" t="s">
        <v>36</v>
      </c>
      <c r="D6" s="23" t="s">
        <v>0</v>
      </c>
      <c r="E6" s="22" t="s">
        <v>35</v>
      </c>
      <c r="F6" s="24" t="s">
        <v>42</v>
      </c>
      <c r="G6" s="25" t="s">
        <v>1</v>
      </c>
    </row>
    <row r="7" spans="2:7" s="7" customFormat="1" ht="20.25" customHeight="1" x14ac:dyDescent="0.2">
      <c r="B7" s="8" t="s">
        <v>2</v>
      </c>
      <c r="C7" s="1">
        <v>1357778328.0389998</v>
      </c>
      <c r="D7" s="2">
        <v>198848</v>
      </c>
      <c r="E7" s="2">
        <f t="shared" ref="E7:E31" si="0">C7/D7/13*1000</f>
        <v>525247.86154364515</v>
      </c>
      <c r="F7" s="3">
        <v>3107894</v>
      </c>
      <c r="G7" s="30">
        <f>D7/F7*1000</f>
        <v>63.981590105711462</v>
      </c>
    </row>
    <row r="8" spans="2:7" s="7" customFormat="1" ht="20.25" customHeight="1" x14ac:dyDescent="0.2">
      <c r="B8" s="8" t="s">
        <v>23</v>
      </c>
      <c r="C8" s="1">
        <v>3991572517.1009698</v>
      </c>
      <c r="D8" s="2">
        <v>635370</v>
      </c>
      <c r="E8" s="2">
        <f t="shared" si="0"/>
        <v>483252.34080456692</v>
      </c>
      <c r="F8" s="3">
        <v>17418577</v>
      </c>
      <c r="G8" s="30">
        <f>D8/F8*1000</f>
        <v>36.476573258538856</v>
      </c>
    </row>
    <row r="9" spans="2:7" s="7" customFormat="1" ht="20.25" customHeight="1" x14ac:dyDescent="0.2">
      <c r="B9" s="8" t="s">
        <v>47</v>
      </c>
      <c r="C9" s="1">
        <v>239108634.87091234</v>
      </c>
      <c r="D9" s="2">
        <v>43966</v>
      </c>
      <c r="E9" s="2">
        <f t="shared" si="0"/>
        <v>418345.35580100771</v>
      </c>
      <c r="F9" s="3">
        <v>436077</v>
      </c>
      <c r="G9" s="30">
        <f t="shared" ref="G9:G31" si="1">D9/F9*1000</f>
        <v>100.82164388399296</v>
      </c>
    </row>
    <row r="10" spans="2:7" s="7" customFormat="1" ht="20.25" customHeight="1" x14ac:dyDescent="0.2">
      <c r="B10" s="8" t="s">
        <v>4</v>
      </c>
      <c r="C10" s="1">
        <v>964831682.25604022</v>
      </c>
      <c r="D10" s="2">
        <v>132561</v>
      </c>
      <c r="E10" s="2">
        <f t="shared" si="0"/>
        <v>559876.74890807318</v>
      </c>
      <c r="F10" s="3">
        <v>3934514</v>
      </c>
      <c r="G10" s="30">
        <f t="shared" si="1"/>
        <v>33.691835891294325</v>
      </c>
    </row>
    <row r="11" spans="2:7" s="7" customFormat="1" ht="20.25" customHeight="1" x14ac:dyDescent="0.2">
      <c r="B11" s="8" t="s">
        <v>5</v>
      </c>
      <c r="C11" s="1">
        <v>321062480</v>
      </c>
      <c r="D11" s="2">
        <v>62537</v>
      </c>
      <c r="E11" s="2">
        <f t="shared" si="0"/>
        <v>394920.0288813638</v>
      </c>
      <c r="F11" s="3">
        <v>1193970</v>
      </c>
      <c r="G11" s="30">
        <f t="shared" si="1"/>
        <v>52.377362915316134</v>
      </c>
    </row>
    <row r="12" spans="2:7" s="9" customFormat="1" ht="20.25" customHeight="1" x14ac:dyDescent="0.2">
      <c r="B12" s="10" t="s">
        <v>6</v>
      </c>
      <c r="C12" s="1">
        <v>450691865.64927077</v>
      </c>
      <c r="D12" s="2">
        <v>84282</v>
      </c>
      <c r="E12" s="2">
        <f t="shared" si="0"/>
        <v>411340.55966806563</v>
      </c>
      <c r="F12" s="3">
        <v>1194631</v>
      </c>
      <c r="G12" s="30">
        <f t="shared" si="1"/>
        <v>70.550655390660381</v>
      </c>
    </row>
    <row r="13" spans="2:7" s="9" customFormat="1" ht="20.25" customHeight="1" x14ac:dyDescent="0.2">
      <c r="B13" s="10" t="s">
        <v>7</v>
      </c>
      <c r="C13" s="1">
        <v>321517855.72110993</v>
      </c>
      <c r="D13" s="2">
        <v>47985</v>
      </c>
      <c r="E13" s="2">
        <f t="shared" si="0"/>
        <v>515414.04079978506</v>
      </c>
      <c r="F13" s="3">
        <v>598946</v>
      </c>
      <c r="G13" s="30">
        <f t="shared" si="1"/>
        <v>80.115736644038023</v>
      </c>
    </row>
    <row r="14" spans="2:7" s="9" customFormat="1" ht="20.25" customHeight="1" x14ac:dyDescent="0.2">
      <c r="B14" s="10" t="s">
        <v>8</v>
      </c>
      <c r="C14" s="1">
        <v>576016790</v>
      </c>
      <c r="D14" s="2">
        <v>84990</v>
      </c>
      <c r="E14" s="2">
        <f t="shared" si="0"/>
        <v>521343.4974250365</v>
      </c>
      <c r="F14" s="3">
        <v>1452721</v>
      </c>
      <c r="G14" s="30">
        <f t="shared" si="1"/>
        <v>58.5040073076661</v>
      </c>
    </row>
    <row r="15" spans="2:7" s="7" customFormat="1" ht="20.25" customHeight="1" x14ac:dyDescent="0.2">
      <c r="B15" s="8" t="s">
        <v>9</v>
      </c>
      <c r="C15" s="1">
        <v>247608253.13112998</v>
      </c>
      <c r="D15" s="2">
        <v>42055</v>
      </c>
      <c r="E15" s="2">
        <f t="shared" si="0"/>
        <v>452901.88330506749</v>
      </c>
      <c r="F15" s="3">
        <v>622428</v>
      </c>
      <c r="G15" s="30">
        <f t="shared" si="1"/>
        <v>67.566047799906173</v>
      </c>
    </row>
    <row r="16" spans="2:7" s="7" customFormat="1" ht="20.25" customHeight="1" x14ac:dyDescent="0.2">
      <c r="B16" s="8" t="s">
        <v>10</v>
      </c>
      <c r="C16" s="1">
        <v>287625785.03241986</v>
      </c>
      <c r="D16" s="2">
        <v>66134</v>
      </c>
      <c r="E16" s="2">
        <f t="shared" si="0"/>
        <v>334548.95193257957</v>
      </c>
      <c r="F16" s="3">
        <v>796866</v>
      </c>
      <c r="G16" s="30">
        <f t="shared" si="1"/>
        <v>82.992623602964613</v>
      </c>
    </row>
    <row r="17" spans="2:7" s="7" customFormat="1" ht="20.25" customHeight="1" x14ac:dyDescent="0.2">
      <c r="B17" s="8" t="s">
        <v>46</v>
      </c>
      <c r="C17" s="1">
        <v>184951858.32901606</v>
      </c>
      <c r="D17" s="2">
        <v>29610</v>
      </c>
      <c r="E17" s="2">
        <f t="shared" si="0"/>
        <v>480481.79754504992</v>
      </c>
      <c r="F17" s="3">
        <v>374945</v>
      </c>
      <c r="G17" s="30">
        <f t="shared" si="1"/>
        <v>78.97158249876648</v>
      </c>
    </row>
    <row r="18" spans="2:7" s="7" customFormat="1" ht="20.25" customHeight="1" x14ac:dyDescent="0.2">
      <c r="B18" s="8" t="s">
        <v>11</v>
      </c>
      <c r="C18" s="1">
        <v>156581040.7941497</v>
      </c>
      <c r="D18" s="2">
        <v>46623</v>
      </c>
      <c r="E18" s="2">
        <f t="shared" si="0"/>
        <v>258342.35132239069</v>
      </c>
      <c r="F18" s="3">
        <v>400097</v>
      </c>
      <c r="G18" s="30">
        <f t="shared" si="1"/>
        <v>116.52924165889772</v>
      </c>
    </row>
    <row r="19" spans="2:7" s="7" customFormat="1" ht="20.25" customHeight="1" x14ac:dyDescent="0.2">
      <c r="B19" s="8" t="s">
        <v>12</v>
      </c>
      <c r="C19" s="2">
        <v>466374273.55318999</v>
      </c>
      <c r="D19" s="2">
        <v>93835</v>
      </c>
      <c r="E19" s="2">
        <f t="shared" si="0"/>
        <v>382319.43432062829</v>
      </c>
      <c r="F19" s="3">
        <v>2037228</v>
      </c>
      <c r="G19" s="30">
        <f t="shared" si="1"/>
        <v>46.060136617010954</v>
      </c>
    </row>
    <row r="20" spans="2:7" s="7" customFormat="1" ht="20.25" customHeight="1" x14ac:dyDescent="0.2">
      <c r="B20" s="8" t="s">
        <v>13</v>
      </c>
      <c r="C20" s="1">
        <v>351081408.91311008</v>
      </c>
      <c r="D20" s="2">
        <v>68315</v>
      </c>
      <c r="E20" s="2">
        <f t="shared" si="0"/>
        <v>395319.65489402605</v>
      </c>
      <c r="F20" s="3">
        <v>1322993</v>
      </c>
      <c r="G20" s="30">
        <f t="shared" si="1"/>
        <v>51.636705560800394</v>
      </c>
    </row>
    <row r="21" spans="2:7" s="7" customFormat="1" ht="20.25" customHeight="1" x14ac:dyDescent="0.2">
      <c r="B21" s="8" t="s">
        <v>14</v>
      </c>
      <c r="C21" s="1">
        <v>657497400</v>
      </c>
      <c r="D21" s="2">
        <v>77915</v>
      </c>
      <c r="E21" s="2">
        <f t="shared" si="0"/>
        <v>649126.90851470304</v>
      </c>
      <c r="F21" s="3">
        <v>693935</v>
      </c>
      <c r="G21" s="30">
        <f t="shared" si="1"/>
        <v>112.27996858495392</v>
      </c>
    </row>
    <row r="22" spans="2:7" s="9" customFormat="1" ht="20.25" customHeight="1" x14ac:dyDescent="0.2">
      <c r="B22" s="10" t="s">
        <v>15</v>
      </c>
      <c r="C22" s="1">
        <v>357869172.29399997</v>
      </c>
      <c r="D22" s="2">
        <v>62229</v>
      </c>
      <c r="E22" s="2">
        <f t="shared" si="0"/>
        <v>442372.49303008604</v>
      </c>
      <c r="F22" s="3">
        <v>780516</v>
      </c>
      <c r="G22" s="30">
        <f t="shared" si="1"/>
        <v>79.72802607505804</v>
      </c>
    </row>
    <row r="23" spans="2:7" s="7" customFormat="1" ht="20.25" customHeight="1" x14ac:dyDescent="0.2">
      <c r="B23" s="8" t="s">
        <v>26</v>
      </c>
      <c r="C23" s="1">
        <v>501732090.81641996</v>
      </c>
      <c r="D23" s="2">
        <v>76752</v>
      </c>
      <c r="E23" s="2">
        <f t="shared" si="0"/>
        <v>502850.43017312494</v>
      </c>
      <c r="F23" s="3">
        <v>1473871</v>
      </c>
      <c r="G23" s="30">
        <f t="shared" si="1"/>
        <v>52.07511376504457</v>
      </c>
    </row>
    <row r="24" spans="2:7" s="7" customFormat="1" ht="20.25" customHeight="1" x14ac:dyDescent="0.2">
      <c r="B24" s="8" t="s">
        <v>17</v>
      </c>
      <c r="C24" s="1">
        <v>309542403.24118</v>
      </c>
      <c r="D24" s="2">
        <v>49655</v>
      </c>
      <c r="E24" s="2">
        <f t="shared" si="0"/>
        <v>479527.8238943789</v>
      </c>
      <c r="F24" s="3">
        <v>841155</v>
      </c>
      <c r="G24" s="30">
        <f t="shared" si="1"/>
        <v>59.031926339378593</v>
      </c>
    </row>
    <row r="25" spans="2:7" s="7" customFormat="1" ht="20.25" customHeight="1" x14ac:dyDescent="0.2">
      <c r="B25" s="8" t="s">
        <v>45</v>
      </c>
      <c r="C25" s="1">
        <v>216500787.35800001</v>
      </c>
      <c r="D25" s="2">
        <v>37541</v>
      </c>
      <c r="E25" s="2">
        <f t="shared" si="0"/>
        <v>443619.15558579034</v>
      </c>
      <c r="F25" s="3">
        <v>530792</v>
      </c>
      <c r="G25" s="30">
        <f t="shared" si="1"/>
        <v>70.726386230387789</v>
      </c>
    </row>
    <row r="26" spans="2:7" s="7" customFormat="1" ht="20.25" customHeight="1" x14ac:dyDescent="0.2">
      <c r="B26" s="8" t="s">
        <v>18</v>
      </c>
      <c r="C26" s="1">
        <v>269867620.44830984</v>
      </c>
      <c r="D26" s="2">
        <v>37423</v>
      </c>
      <c r="E26" s="2">
        <f t="shared" si="0"/>
        <v>554713.6180101292</v>
      </c>
      <c r="F26" s="3">
        <v>334541</v>
      </c>
      <c r="G26" s="30">
        <f t="shared" si="1"/>
        <v>111.86371775058961</v>
      </c>
    </row>
    <row r="27" spans="2:7" s="9" customFormat="1" ht="20.25" customHeight="1" x14ac:dyDescent="0.2">
      <c r="B27" s="8" t="s">
        <v>19</v>
      </c>
      <c r="C27" s="1">
        <v>1081645839.9999998</v>
      </c>
      <c r="D27" s="2">
        <v>153055</v>
      </c>
      <c r="E27" s="2">
        <f t="shared" si="0"/>
        <v>543618.47802323441</v>
      </c>
      <c r="F27" s="3">
        <v>3674361</v>
      </c>
      <c r="G27" s="30">
        <f t="shared" si="1"/>
        <v>41.654861892993097</v>
      </c>
    </row>
    <row r="28" spans="2:7" s="7" customFormat="1" ht="20.25" customHeight="1" x14ac:dyDescent="0.2">
      <c r="B28" s="8" t="s">
        <v>34</v>
      </c>
      <c r="C28" s="1">
        <v>161253970</v>
      </c>
      <c r="D28" s="2">
        <v>58647</v>
      </c>
      <c r="E28" s="2">
        <f t="shared" si="0"/>
        <v>211505.3035698593</v>
      </c>
      <c r="F28" s="3">
        <v>1049610</v>
      </c>
      <c r="G28" s="30">
        <f t="shared" si="1"/>
        <v>55.875039300311542</v>
      </c>
    </row>
    <row r="29" spans="2:7" s="7" customFormat="1" ht="20.25" customHeight="1" x14ac:dyDescent="0.2">
      <c r="B29" s="8" t="s">
        <v>20</v>
      </c>
      <c r="C29" s="1">
        <v>552605154</v>
      </c>
      <c r="D29" s="2">
        <v>95937</v>
      </c>
      <c r="E29" s="2">
        <f t="shared" si="0"/>
        <v>443083.36480430665</v>
      </c>
      <c r="F29" s="3">
        <v>1763239</v>
      </c>
      <c r="G29" s="30">
        <f t="shared" si="1"/>
        <v>54.409527012503695</v>
      </c>
    </row>
    <row r="30" spans="2:7" s="7" customFormat="1" ht="20.25" customHeight="1" thickBot="1" x14ac:dyDescent="0.25">
      <c r="B30" s="8" t="s">
        <v>33</v>
      </c>
      <c r="C30" s="2">
        <v>187367729.5833998</v>
      </c>
      <c r="D30" s="2">
        <v>25248</v>
      </c>
      <c r="E30" s="2">
        <f t="shared" si="0"/>
        <v>570853.22701386805</v>
      </c>
      <c r="F30" s="3">
        <v>180555</v>
      </c>
      <c r="G30" s="30">
        <f t="shared" si="1"/>
        <v>139.83550718617596</v>
      </c>
    </row>
    <row r="31" spans="2:7" s="11" customFormat="1" ht="26.25" customHeight="1" thickBot="1" x14ac:dyDescent="0.25">
      <c r="B31" s="26" t="s">
        <v>21</v>
      </c>
      <c r="C31" s="27">
        <f>SUM(C7:C30)</f>
        <v>14212684941.13163</v>
      </c>
      <c r="D31" s="27">
        <f>SUM(D7:D30)</f>
        <v>2311513</v>
      </c>
      <c r="E31" s="27">
        <f t="shared" si="0"/>
        <v>472973.09468306054</v>
      </c>
      <c r="F31" s="28">
        <f>+SUM(F7:F30)</f>
        <v>46214462</v>
      </c>
      <c r="G31" s="31">
        <f t="shared" si="1"/>
        <v>50.017092052267103</v>
      </c>
    </row>
    <row r="32" spans="2:7" ht="8.25" customHeight="1" x14ac:dyDescent="0.2">
      <c r="B32" s="12"/>
      <c r="E32" s="13"/>
      <c r="G32" s="14"/>
    </row>
    <row r="33" spans="1:7" x14ac:dyDescent="0.2">
      <c r="B33" s="40" t="s">
        <v>43</v>
      </c>
      <c r="C33" s="40"/>
      <c r="D33" s="40"/>
      <c r="E33" s="40"/>
      <c r="F33" s="40"/>
      <c r="G33" s="40"/>
    </row>
    <row r="34" spans="1:7" x14ac:dyDescent="0.2">
      <c r="A34" s="15"/>
      <c r="B34" s="34" t="s">
        <v>44</v>
      </c>
      <c r="C34" s="34"/>
      <c r="D34" s="34"/>
      <c r="E34" s="34"/>
      <c r="F34" s="34"/>
      <c r="G34" s="34"/>
    </row>
    <row r="35" spans="1:7" x14ac:dyDescent="0.2">
      <c r="A35" s="15"/>
      <c r="B35" s="34"/>
      <c r="C35" s="34"/>
      <c r="D35" s="34"/>
      <c r="E35" s="34"/>
      <c r="F35" s="34"/>
      <c r="G35" s="34"/>
    </row>
    <row r="36" spans="1:7" x14ac:dyDescent="0.2">
      <c r="A36" s="15"/>
      <c r="B36" s="33" t="s">
        <v>52</v>
      </c>
      <c r="C36" s="29"/>
      <c r="D36" s="29"/>
      <c r="E36" s="29"/>
      <c r="F36" s="29"/>
      <c r="G36" s="29"/>
    </row>
    <row r="37" spans="1:7" x14ac:dyDescent="0.2">
      <c r="B37" s="39" t="s">
        <v>32</v>
      </c>
      <c r="C37" s="39"/>
      <c r="D37" s="39"/>
      <c r="E37" s="39"/>
      <c r="F37" s="39"/>
      <c r="G37" s="39"/>
    </row>
    <row r="38" spans="1:7" x14ac:dyDescent="0.2">
      <c r="B38" s="34"/>
      <c r="C38" s="34"/>
      <c r="D38" s="34"/>
      <c r="E38" s="34"/>
      <c r="F38" s="34"/>
      <c r="G38" s="34"/>
    </row>
    <row r="39" spans="1:7" x14ac:dyDescent="0.2">
      <c r="B39" s="34"/>
      <c r="C39" s="34"/>
      <c r="D39" s="34"/>
      <c r="E39" s="34"/>
      <c r="F39" s="34"/>
      <c r="G39" s="34"/>
    </row>
    <row r="40" spans="1:7" x14ac:dyDescent="0.2">
      <c r="B40" s="34"/>
      <c r="C40" s="34"/>
      <c r="D40" s="34"/>
      <c r="E40" s="34"/>
      <c r="F40" s="34"/>
      <c r="G40" s="34"/>
    </row>
    <row r="41" spans="1:7" x14ac:dyDescent="0.2">
      <c r="B41" s="34"/>
      <c r="C41" s="34"/>
      <c r="D41" s="34"/>
      <c r="E41" s="34"/>
      <c r="F41" s="34"/>
      <c r="G41" s="34"/>
    </row>
    <row r="42" spans="1:7" x14ac:dyDescent="0.2">
      <c r="B42" s="34"/>
      <c r="C42" s="34"/>
      <c r="D42" s="34"/>
      <c r="E42" s="34"/>
      <c r="F42" s="34"/>
      <c r="G42" s="34"/>
    </row>
  </sheetData>
  <mergeCells count="13">
    <mergeCell ref="B1:G1"/>
    <mergeCell ref="B2:G2"/>
    <mergeCell ref="B3:G3"/>
    <mergeCell ref="B4:G4"/>
    <mergeCell ref="B37:G37"/>
    <mergeCell ref="B33:G33"/>
    <mergeCell ref="B34:G34"/>
    <mergeCell ref="B35:G35"/>
    <mergeCell ref="B38:G38"/>
    <mergeCell ref="B39:G39"/>
    <mergeCell ref="B40:G40"/>
    <mergeCell ref="B41:G41"/>
    <mergeCell ref="B42:G4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42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4" customWidth="1"/>
    <col min="2" max="2" width="27.140625" style="4" customWidth="1"/>
    <col min="3" max="3" width="17.7109375" style="4" bestFit="1" customWidth="1"/>
    <col min="4" max="4" width="13.140625" style="4" customWidth="1"/>
    <col min="5" max="5" width="15.5703125" style="4" customWidth="1"/>
    <col min="6" max="6" width="16.42578125" style="5" bestFit="1" customWidth="1"/>
    <col min="7" max="7" width="15.5703125" style="4" customWidth="1"/>
    <col min="8" max="16384" width="11.42578125" style="4"/>
  </cols>
  <sheetData>
    <row r="1" spans="2:7" ht="64.5" customHeight="1" x14ac:dyDescent="0.2">
      <c r="B1" s="35"/>
      <c r="C1" s="35"/>
      <c r="D1" s="35"/>
      <c r="E1" s="35"/>
      <c r="F1" s="35"/>
      <c r="G1" s="35"/>
    </row>
    <row r="2" spans="2:7" s="9" customFormat="1" ht="18.75" customHeight="1" x14ac:dyDescent="0.2">
      <c r="B2" s="36" t="s">
        <v>41</v>
      </c>
      <c r="C2" s="36"/>
      <c r="D2" s="36"/>
      <c r="E2" s="36"/>
      <c r="F2" s="36"/>
      <c r="G2" s="36"/>
    </row>
    <row r="3" spans="2:7" s="6" customFormat="1" ht="18.75" customHeight="1" x14ac:dyDescent="0.2">
      <c r="B3" s="37" t="s">
        <v>40</v>
      </c>
      <c r="C3" s="37"/>
      <c r="D3" s="37"/>
      <c r="E3" s="37"/>
      <c r="F3" s="37"/>
      <c r="G3" s="37"/>
    </row>
    <row r="4" spans="2:7" ht="18.75" customHeight="1" x14ac:dyDescent="0.2">
      <c r="B4" s="38" t="s">
        <v>37</v>
      </c>
      <c r="C4" s="38"/>
      <c r="D4" s="38"/>
      <c r="E4" s="38"/>
      <c r="F4" s="38"/>
      <c r="G4" s="38"/>
    </row>
    <row r="5" spans="2:7" ht="13.5" thickBot="1" x14ac:dyDescent="0.25"/>
    <row r="6" spans="2:7" s="6" customFormat="1" ht="53.25" customHeight="1" thickBot="1" x14ac:dyDescent="0.25">
      <c r="B6" s="21" t="s">
        <v>22</v>
      </c>
      <c r="C6" s="22" t="s">
        <v>36</v>
      </c>
      <c r="D6" s="23" t="s">
        <v>0</v>
      </c>
      <c r="E6" s="22" t="s">
        <v>35</v>
      </c>
      <c r="F6" s="24" t="s">
        <v>42</v>
      </c>
      <c r="G6" s="25" t="s">
        <v>1</v>
      </c>
    </row>
    <row r="7" spans="2:7" s="7" customFormat="1" ht="20.25" customHeight="1" x14ac:dyDescent="0.2">
      <c r="B7" s="8" t="s">
        <v>2</v>
      </c>
      <c r="C7" s="1">
        <v>4044771759.3467598</v>
      </c>
      <c r="D7" s="2">
        <v>196900</v>
      </c>
      <c r="E7" s="2">
        <f t="shared" ref="E7:E31" si="0">C7/D7/13*1000</f>
        <v>1580174.1451524633</v>
      </c>
      <c r="F7" s="3">
        <v>3093735</v>
      </c>
      <c r="G7" s="30">
        <f>D7/F7*1000</f>
        <v>63.644753025065171</v>
      </c>
    </row>
    <row r="8" spans="2:7" s="7" customFormat="1" ht="20.25" customHeight="1" x14ac:dyDescent="0.2">
      <c r="B8" s="8" t="s">
        <v>23</v>
      </c>
      <c r="C8" s="1">
        <v>10400465513.096016</v>
      </c>
      <c r="D8" s="2">
        <v>657475</v>
      </c>
      <c r="E8" s="2">
        <f t="shared" si="0"/>
        <v>1216830.7672530415</v>
      </c>
      <c r="F8" s="3">
        <v>17431446</v>
      </c>
      <c r="G8" s="30">
        <f>D8/F8*1000</f>
        <v>37.717754453646585</v>
      </c>
    </row>
    <row r="9" spans="2:7" s="7" customFormat="1" ht="20.25" customHeight="1" x14ac:dyDescent="0.2">
      <c r="B9" s="8" t="s">
        <v>3</v>
      </c>
      <c r="C9" s="1">
        <v>620564126.99699974</v>
      </c>
      <c r="D9" s="2">
        <v>43745</v>
      </c>
      <c r="E9" s="2">
        <f t="shared" si="0"/>
        <v>1091226.4733499209</v>
      </c>
      <c r="F9" s="3">
        <v>437508</v>
      </c>
      <c r="G9" s="30">
        <f t="shared" ref="G9:G31" si="1">D9/F9*1000</f>
        <v>99.986743099554758</v>
      </c>
    </row>
    <row r="10" spans="2:7" s="7" customFormat="1" ht="20.25" customHeight="1" x14ac:dyDescent="0.2">
      <c r="B10" s="8" t="s">
        <v>4</v>
      </c>
      <c r="C10" s="1">
        <v>2574716678.0677042</v>
      </c>
      <c r="D10" s="2">
        <v>131503</v>
      </c>
      <c r="E10" s="2">
        <f t="shared" si="0"/>
        <v>1506088.295188179</v>
      </c>
      <c r="F10" s="3">
        <v>3946289</v>
      </c>
      <c r="G10" s="30">
        <f t="shared" si="1"/>
        <v>33.323205675002512</v>
      </c>
    </row>
    <row r="11" spans="2:7" s="7" customFormat="1" ht="20.25" customHeight="1" x14ac:dyDescent="0.2">
      <c r="B11" s="8" t="s">
        <v>5</v>
      </c>
      <c r="C11" s="1">
        <v>869801340.00000012</v>
      </c>
      <c r="D11" s="2">
        <v>61926</v>
      </c>
      <c r="E11" s="2">
        <f t="shared" si="0"/>
        <v>1080447.5565128606</v>
      </c>
      <c r="F11" s="3">
        <v>1199120</v>
      </c>
      <c r="G11" s="30">
        <f t="shared" si="1"/>
        <v>51.642871439055305</v>
      </c>
    </row>
    <row r="12" spans="2:7" s="9" customFormat="1" ht="20.25" customHeight="1" x14ac:dyDescent="0.2">
      <c r="B12" s="10" t="s">
        <v>6</v>
      </c>
      <c r="C12" s="1">
        <v>1392073176.9107995</v>
      </c>
      <c r="D12" s="2">
        <v>81835</v>
      </c>
      <c r="E12" s="2">
        <f t="shared" si="0"/>
        <v>1308517.7744248977</v>
      </c>
      <c r="F12" s="3">
        <v>1200849</v>
      </c>
      <c r="G12" s="30">
        <f t="shared" si="1"/>
        <v>68.147618892966548</v>
      </c>
    </row>
    <row r="13" spans="2:7" s="9" customFormat="1" ht="20.25" customHeight="1" x14ac:dyDescent="0.2">
      <c r="B13" s="10" t="s">
        <v>7</v>
      </c>
      <c r="C13" s="1">
        <v>955457932.1864301</v>
      </c>
      <c r="D13" s="2">
        <v>47533</v>
      </c>
      <c r="E13" s="2">
        <f t="shared" si="0"/>
        <v>1546226.0748183529</v>
      </c>
      <c r="F13" s="3">
        <v>600674</v>
      </c>
      <c r="G13" s="30">
        <f t="shared" si="1"/>
        <v>79.13277418366701</v>
      </c>
    </row>
    <row r="14" spans="2:7" s="9" customFormat="1" ht="20.25" customHeight="1" x14ac:dyDescent="0.2">
      <c r="B14" s="10" t="s">
        <v>8</v>
      </c>
      <c r="C14" s="1">
        <v>1525864739.2906799</v>
      </c>
      <c r="D14" s="2">
        <v>84729</v>
      </c>
      <c r="E14" s="2">
        <f t="shared" si="0"/>
        <v>1385289.6967350929</v>
      </c>
      <c r="F14" s="3">
        <v>1456015</v>
      </c>
      <c r="G14" s="30">
        <f t="shared" si="1"/>
        <v>58.19239499593067</v>
      </c>
    </row>
    <row r="15" spans="2:7" s="7" customFormat="1" ht="20.25" customHeight="1" x14ac:dyDescent="0.2">
      <c r="B15" s="8" t="s">
        <v>9</v>
      </c>
      <c r="C15" s="1">
        <v>582233143.34294987</v>
      </c>
      <c r="D15" s="2">
        <v>41677</v>
      </c>
      <c r="E15" s="2">
        <f t="shared" si="0"/>
        <v>1074625.4498292729</v>
      </c>
      <c r="F15" s="3">
        <v>624461</v>
      </c>
      <c r="G15" s="30">
        <f t="shared" si="1"/>
        <v>66.740757229034315</v>
      </c>
    </row>
    <row r="16" spans="2:7" s="7" customFormat="1" ht="20.25" customHeight="1" x14ac:dyDescent="0.2">
      <c r="B16" s="8" t="s">
        <v>10</v>
      </c>
      <c r="C16" s="1">
        <v>735656796.74816012</v>
      </c>
      <c r="D16" s="2">
        <v>66172</v>
      </c>
      <c r="E16" s="2">
        <f t="shared" si="0"/>
        <v>855180.20258180331</v>
      </c>
      <c r="F16" s="3">
        <v>798673</v>
      </c>
      <c r="G16" s="30">
        <f t="shared" si="1"/>
        <v>82.85243147070203</v>
      </c>
    </row>
    <row r="17" spans="2:7" s="7" customFormat="1" ht="20.25" customHeight="1" x14ac:dyDescent="0.2">
      <c r="B17" s="8" t="s">
        <v>46</v>
      </c>
      <c r="C17" s="1">
        <v>506585168.65702075</v>
      </c>
      <c r="D17" s="2">
        <v>29745</v>
      </c>
      <c r="E17" s="2">
        <f t="shared" si="0"/>
        <v>1310071.9413916257</v>
      </c>
      <c r="F17" s="3">
        <v>375873</v>
      </c>
      <c r="G17" s="30">
        <f t="shared" si="1"/>
        <v>79.135771922963343</v>
      </c>
    </row>
    <row r="18" spans="2:7" s="7" customFormat="1" ht="20.25" customHeight="1" x14ac:dyDescent="0.2">
      <c r="B18" s="8" t="s">
        <v>11</v>
      </c>
      <c r="C18" s="1">
        <v>449476248.90293163</v>
      </c>
      <c r="D18" s="2">
        <v>44705</v>
      </c>
      <c r="E18" s="2">
        <f t="shared" si="0"/>
        <v>773405.57140043122</v>
      </c>
      <c r="F18" s="3">
        <v>401843</v>
      </c>
      <c r="G18" s="30">
        <f t="shared" si="1"/>
        <v>111.24991601197483</v>
      </c>
    </row>
    <row r="19" spans="2:7" s="7" customFormat="1" ht="20.25" customHeight="1" x14ac:dyDescent="0.2">
      <c r="B19" s="8" t="s">
        <v>12</v>
      </c>
      <c r="C19" s="2">
        <v>1230010168.0942793</v>
      </c>
      <c r="D19" s="2">
        <v>91785</v>
      </c>
      <c r="E19" s="2">
        <f t="shared" si="0"/>
        <v>1030845.6368304519</v>
      </c>
      <c r="F19" s="3">
        <v>2042241</v>
      </c>
      <c r="G19" s="30">
        <f t="shared" si="1"/>
        <v>44.943275548772156</v>
      </c>
    </row>
    <row r="20" spans="2:7" s="7" customFormat="1" ht="20.25" customHeight="1" x14ac:dyDescent="0.2">
      <c r="B20" s="8" t="s">
        <v>13</v>
      </c>
      <c r="C20" s="1">
        <v>916722235.01536989</v>
      </c>
      <c r="D20" s="2">
        <v>68647</v>
      </c>
      <c r="E20" s="2">
        <f t="shared" si="0"/>
        <v>1027242.1955975106</v>
      </c>
      <c r="F20" s="3">
        <v>1333633</v>
      </c>
      <c r="G20" s="30">
        <f t="shared" si="1"/>
        <v>51.473681290130045</v>
      </c>
    </row>
    <row r="21" spans="2:7" s="7" customFormat="1" ht="20.25" customHeight="1" x14ac:dyDescent="0.2">
      <c r="B21" s="8" t="s">
        <v>14</v>
      </c>
      <c r="C21" s="1">
        <v>2135046600</v>
      </c>
      <c r="D21" s="2">
        <v>77826</v>
      </c>
      <c r="E21" s="2">
        <f t="shared" si="0"/>
        <v>2110276.1782200532</v>
      </c>
      <c r="F21" s="3">
        <v>698410</v>
      </c>
      <c r="G21" s="30">
        <f t="shared" si="1"/>
        <v>111.43311235520682</v>
      </c>
    </row>
    <row r="22" spans="2:7" s="9" customFormat="1" ht="20.25" customHeight="1" x14ac:dyDescent="0.2">
      <c r="B22" s="10" t="s">
        <v>15</v>
      </c>
      <c r="C22" s="1">
        <v>1047237277.0190001</v>
      </c>
      <c r="D22" s="2">
        <v>56796</v>
      </c>
      <c r="E22" s="2">
        <f t="shared" si="0"/>
        <v>1418351.8842320966</v>
      </c>
      <c r="F22" s="3">
        <v>784591</v>
      </c>
      <c r="G22" s="30">
        <f t="shared" si="1"/>
        <v>72.389308569687913</v>
      </c>
    </row>
    <row r="23" spans="2:7" s="7" customFormat="1" ht="20.25" customHeight="1" x14ac:dyDescent="0.2">
      <c r="B23" s="8" t="s">
        <v>49</v>
      </c>
      <c r="C23" s="1">
        <v>1281178719.9166999</v>
      </c>
      <c r="D23" s="2">
        <v>77814</v>
      </c>
      <c r="E23" s="2">
        <f t="shared" si="0"/>
        <v>1266510.0010841431</v>
      </c>
      <c r="F23" s="3">
        <v>1480327</v>
      </c>
      <c r="G23" s="30">
        <f t="shared" si="1"/>
        <v>52.56541291214711</v>
      </c>
    </row>
    <row r="24" spans="2:7" s="7" customFormat="1" ht="20.25" customHeight="1" x14ac:dyDescent="0.2">
      <c r="B24" s="8" t="s">
        <v>17</v>
      </c>
      <c r="C24" s="1">
        <v>842528539.08844006</v>
      </c>
      <c r="D24" s="2">
        <v>49874</v>
      </c>
      <c r="E24" s="2">
        <f t="shared" si="0"/>
        <v>1299472.4229495868</v>
      </c>
      <c r="F24" s="3">
        <v>845201</v>
      </c>
      <c r="G24" s="30">
        <f t="shared" si="1"/>
        <v>59.008448877840898</v>
      </c>
    </row>
    <row r="25" spans="2:7" s="7" customFormat="1" ht="20.25" customHeight="1" x14ac:dyDescent="0.2">
      <c r="B25" s="8" t="s">
        <v>45</v>
      </c>
      <c r="C25" s="1">
        <v>458744968.48447001</v>
      </c>
      <c r="D25" s="2">
        <v>38541</v>
      </c>
      <c r="E25" s="2">
        <f t="shared" si="0"/>
        <v>915598.31085870601</v>
      </c>
      <c r="F25" s="3">
        <v>533465</v>
      </c>
      <c r="G25" s="30">
        <f t="shared" si="1"/>
        <v>72.246539135650892</v>
      </c>
    </row>
    <row r="26" spans="2:7" s="7" customFormat="1" ht="20.25" customHeight="1" x14ac:dyDescent="0.2">
      <c r="B26" s="8" t="s">
        <v>18</v>
      </c>
      <c r="C26" s="1">
        <v>762138154.2696898</v>
      </c>
      <c r="D26" s="2">
        <v>36525</v>
      </c>
      <c r="E26" s="2">
        <f t="shared" si="0"/>
        <v>1605092.7273620593</v>
      </c>
      <c r="F26" s="3">
        <v>334752</v>
      </c>
      <c r="G26" s="30">
        <f t="shared" si="1"/>
        <v>109.11062517923718</v>
      </c>
    </row>
    <row r="27" spans="2:7" s="9" customFormat="1" ht="20.25" customHeight="1" x14ac:dyDescent="0.2">
      <c r="B27" s="8" t="s">
        <v>19</v>
      </c>
      <c r="C27" s="1">
        <v>3006265929.9999995</v>
      </c>
      <c r="D27" s="2">
        <v>152031</v>
      </c>
      <c r="E27" s="2">
        <f t="shared" si="0"/>
        <v>1521079.4205432797</v>
      </c>
      <c r="F27" s="3">
        <v>3679597</v>
      </c>
      <c r="G27" s="30">
        <f t="shared" si="1"/>
        <v>41.317296432190808</v>
      </c>
    </row>
    <row r="28" spans="2:7" s="7" customFormat="1" ht="20.25" customHeight="1" x14ac:dyDescent="0.2">
      <c r="B28" s="8" t="s">
        <v>34</v>
      </c>
      <c r="C28" s="1">
        <v>695117450</v>
      </c>
      <c r="D28" s="2">
        <v>56198</v>
      </c>
      <c r="E28" s="2">
        <f t="shared" si="0"/>
        <v>951467.5446977308</v>
      </c>
      <c r="F28" s="3">
        <v>1053409</v>
      </c>
      <c r="G28" s="30">
        <f t="shared" si="1"/>
        <v>53.348699318118598</v>
      </c>
    </row>
    <row r="29" spans="2:7" s="7" customFormat="1" ht="20.25" customHeight="1" x14ac:dyDescent="0.2">
      <c r="B29" s="8" t="s">
        <v>20</v>
      </c>
      <c r="C29" s="1">
        <v>1354805457</v>
      </c>
      <c r="D29" s="2">
        <v>96671</v>
      </c>
      <c r="E29" s="2">
        <f t="shared" si="0"/>
        <v>1078046.2019076599</v>
      </c>
      <c r="F29" s="3">
        <v>1768368</v>
      </c>
      <c r="G29" s="30">
        <f t="shared" si="1"/>
        <v>54.666788813188205</v>
      </c>
    </row>
    <row r="30" spans="2:7" s="7" customFormat="1" ht="20.25" customHeight="1" thickBot="1" x14ac:dyDescent="0.25">
      <c r="B30" s="8" t="s">
        <v>33</v>
      </c>
      <c r="C30" s="2">
        <v>513870453.30868506</v>
      </c>
      <c r="D30" s="2">
        <v>25734</v>
      </c>
      <c r="E30" s="2">
        <f t="shared" si="0"/>
        <v>1536041.6728204084</v>
      </c>
      <c r="F30" s="3">
        <v>181263</v>
      </c>
      <c r="G30" s="30">
        <f t="shared" si="1"/>
        <v>141.97050694295029</v>
      </c>
    </row>
    <row r="31" spans="2:7" s="11" customFormat="1" ht="26.25" customHeight="1" thickBot="1" x14ac:dyDescent="0.25">
      <c r="B31" s="26" t="s">
        <v>21</v>
      </c>
      <c r="C31" s="27">
        <f>SUM(C7:C30)</f>
        <v>38901332575.743088</v>
      </c>
      <c r="D31" s="27">
        <f>SUM(D7:D30)</f>
        <v>2316387</v>
      </c>
      <c r="E31" s="27">
        <f t="shared" si="0"/>
        <v>1291843.8059504235</v>
      </c>
      <c r="F31" s="28">
        <f>+SUM(F7:F30)</f>
        <v>46301743</v>
      </c>
      <c r="G31" s="31">
        <f t="shared" si="1"/>
        <v>50.028073457191454</v>
      </c>
    </row>
    <row r="32" spans="2:7" ht="8.25" customHeight="1" x14ac:dyDescent="0.2">
      <c r="B32" s="12"/>
      <c r="E32" s="13"/>
      <c r="G32" s="14"/>
    </row>
    <row r="33" spans="1:7" x14ac:dyDescent="0.2">
      <c r="B33" s="40" t="s">
        <v>43</v>
      </c>
      <c r="C33" s="40"/>
      <c r="D33" s="40"/>
      <c r="E33" s="40"/>
      <c r="F33" s="40"/>
      <c r="G33" s="40"/>
    </row>
    <row r="34" spans="1:7" x14ac:dyDescent="0.2">
      <c r="A34" s="15"/>
      <c r="B34" s="34" t="s">
        <v>44</v>
      </c>
      <c r="C34" s="34"/>
      <c r="D34" s="34"/>
      <c r="E34" s="34"/>
      <c r="F34" s="34"/>
      <c r="G34" s="34"/>
    </row>
    <row r="35" spans="1:7" x14ac:dyDescent="0.2">
      <c r="A35" s="15"/>
      <c r="B35" s="41" t="s">
        <v>50</v>
      </c>
      <c r="C35" s="34"/>
      <c r="D35" s="34"/>
      <c r="E35" s="34"/>
      <c r="F35" s="34"/>
      <c r="G35" s="34"/>
    </row>
    <row r="36" spans="1:7" x14ac:dyDescent="0.2">
      <c r="A36" s="15"/>
      <c r="B36" s="33" t="s">
        <v>52</v>
      </c>
      <c r="C36" s="29"/>
      <c r="D36" s="29"/>
      <c r="E36" s="29"/>
      <c r="F36" s="29"/>
      <c r="G36" s="29"/>
    </row>
    <row r="37" spans="1:7" x14ac:dyDescent="0.2">
      <c r="B37" s="39" t="s">
        <v>32</v>
      </c>
      <c r="C37" s="39"/>
      <c r="D37" s="39"/>
      <c r="E37" s="39"/>
      <c r="F37" s="39"/>
      <c r="G37" s="39"/>
    </row>
    <row r="38" spans="1:7" x14ac:dyDescent="0.2">
      <c r="B38" s="34"/>
      <c r="C38" s="34"/>
      <c r="D38" s="34"/>
      <c r="E38" s="34"/>
      <c r="F38" s="34"/>
      <c r="G38" s="34"/>
    </row>
    <row r="39" spans="1:7" x14ac:dyDescent="0.2">
      <c r="B39" s="34"/>
      <c r="C39" s="34"/>
      <c r="D39" s="34"/>
      <c r="E39" s="34"/>
      <c r="F39" s="34"/>
      <c r="G39" s="34"/>
    </row>
    <row r="40" spans="1:7" x14ac:dyDescent="0.2">
      <c r="B40" s="34"/>
      <c r="C40" s="34"/>
      <c r="D40" s="34"/>
      <c r="E40" s="34"/>
      <c r="F40" s="34"/>
      <c r="G40" s="34"/>
    </row>
    <row r="41" spans="1:7" x14ac:dyDescent="0.2">
      <c r="B41" s="34"/>
      <c r="C41" s="34"/>
      <c r="D41" s="34"/>
      <c r="E41" s="34"/>
      <c r="F41" s="34"/>
      <c r="G41" s="34"/>
    </row>
    <row r="42" spans="1:7" x14ac:dyDescent="0.2">
      <c r="B42" s="34"/>
      <c r="C42" s="34"/>
      <c r="D42" s="34"/>
      <c r="E42" s="34"/>
      <c r="F42" s="34"/>
      <c r="G42" s="34"/>
    </row>
  </sheetData>
  <mergeCells count="13">
    <mergeCell ref="B41:G41"/>
    <mergeCell ref="B42:G42"/>
    <mergeCell ref="B35:G35"/>
    <mergeCell ref="B37:G37"/>
    <mergeCell ref="B38:G38"/>
    <mergeCell ref="B39:G39"/>
    <mergeCell ref="B40:G40"/>
    <mergeCell ref="B34:G34"/>
    <mergeCell ref="B1:G1"/>
    <mergeCell ref="B2:G2"/>
    <mergeCell ref="B3:G3"/>
    <mergeCell ref="B4:G4"/>
    <mergeCell ref="B33:G3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7F01-D15D-4D35-99DE-1F282CFA28A2}">
  <dimension ref="A1:G42"/>
  <sheetViews>
    <sheetView showGridLines="0" tabSelected="1" zoomScaleNormal="100" workbookViewId="0">
      <selection activeCell="B1" sqref="B1:G1"/>
    </sheetView>
  </sheetViews>
  <sheetFormatPr baseColWidth="10" defaultRowHeight="12.75" x14ac:dyDescent="0.2"/>
  <cols>
    <col min="1" max="1" width="2.85546875" style="4" customWidth="1"/>
    <col min="2" max="2" width="27.140625" style="4" customWidth="1"/>
    <col min="3" max="3" width="17.7109375" style="4" bestFit="1" customWidth="1"/>
    <col min="4" max="4" width="13.140625" style="4" customWidth="1"/>
    <col min="5" max="5" width="15.5703125" style="4" customWidth="1"/>
    <col min="6" max="6" width="16.42578125" style="5" bestFit="1" customWidth="1"/>
    <col min="7" max="7" width="15.5703125" style="4" customWidth="1"/>
    <col min="8" max="16384" width="11.42578125" style="4"/>
  </cols>
  <sheetData>
    <row r="1" spans="2:7" ht="64.5" customHeight="1" x14ac:dyDescent="0.2">
      <c r="B1" s="35"/>
      <c r="C1" s="35"/>
      <c r="D1" s="35"/>
      <c r="E1" s="35"/>
      <c r="F1" s="35"/>
      <c r="G1" s="35"/>
    </row>
    <row r="2" spans="2:7" s="9" customFormat="1" ht="18.75" customHeight="1" x14ac:dyDescent="0.2">
      <c r="B2" s="36" t="s">
        <v>41</v>
      </c>
      <c r="C2" s="36"/>
      <c r="D2" s="36"/>
      <c r="E2" s="36"/>
      <c r="F2" s="36"/>
      <c r="G2" s="36"/>
    </row>
    <row r="3" spans="2:7" s="6" customFormat="1" ht="18.75" customHeight="1" x14ac:dyDescent="0.2">
      <c r="B3" s="37" t="s">
        <v>40</v>
      </c>
      <c r="C3" s="37"/>
      <c r="D3" s="37"/>
      <c r="E3" s="37"/>
      <c r="F3" s="37"/>
      <c r="G3" s="37"/>
    </row>
    <row r="4" spans="2:7" ht="18.75" customHeight="1" x14ac:dyDescent="0.2">
      <c r="B4" s="38" t="s">
        <v>39</v>
      </c>
      <c r="C4" s="38"/>
      <c r="D4" s="38"/>
      <c r="E4" s="38"/>
      <c r="F4" s="38"/>
      <c r="G4" s="38"/>
    </row>
    <row r="5" spans="2:7" ht="13.5" thickBot="1" x14ac:dyDescent="0.25"/>
    <row r="6" spans="2:7" s="6" customFormat="1" ht="53.25" customHeight="1" thickBot="1" x14ac:dyDescent="0.25">
      <c r="B6" s="21" t="s">
        <v>22</v>
      </c>
      <c r="C6" s="22" t="s">
        <v>36</v>
      </c>
      <c r="D6" s="23" t="s">
        <v>0</v>
      </c>
      <c r="E6" s="22" t="s">
        <v>35</v>
      </c>
      <c r="F6" s="24" t="s">
        <v>42</v>
      </c>
      <c r="G6" s="25" t="s">
        <v>1</v>
      </c>
    </row>
    <row r="7" spans="2:7" s="7" customFormat="1" ht="20.25" customHeight="1" x14ac:dyDescent="0.2">
      <c r="B7" s="8" t="s">
        <v>2</v>
      </c>
      <c r="C7" s="1">
        <v>5827652945.6339998</v>
      </c>
      <c r="D7" s="2">
        <v>195385</v>
      </c>
      <c r="E7" s="2">
        <f t="shared" ref="E7:E30" si="0">C7/D7/13*1000</f>
        <v>2294347.036968037</v>
      </c>
      <c r="F7" s="3">
        <v>3079674</v>
      </c>
      <c r="G7" s="30">
        <f>D7/F7*1000</f>
        <v>63.44340342516773</v>
      </c>
    </row>
    <row r="8" spans="2:7" s="7" customFormat="1" ht="20.25" customHeight="1" x14ac:dyDescent="0.2">
      <c r="B8" s="8" t="s">
        <v>23</v>
      </c>
      <c r="C8" s="1">
        <v>14710351000</v>
      </c>
      <c r="D8" s="2">
        <v>655614</v>
      </c>
      <c r="E8" s="2">
        <f t="shared" si="0"/>
        <v>1725962.9317532291</v>
      </c>
      <c r="F8" s="3">
        <v>17443372</v>
      </c>
      <c r="G8" s="30">
        <f>D8/F8*1000</f>
        <v>37.585278809624654</v>
      </c>
    </row>
    <row r="9" spans="2:7" s="7" customFormat="1" ht="20.25" customHeight="1" x14ac:dyDescent="0.2">
      <c r="B9" s="8" t="s">
        <v>3</v>
      </c>
      <c r="C9" s="1">
        <v>974630516.19468164</v>
      </c>
      <c r="D9" s="2">
        <v>45088</v>
      </c>
      <c r="E9" s="2">
        <f t="shared" si="0"/>
        <v>1662783.4050927444</v>
      </c>
      <c r="F9" s="3">
        <v>439024</v>
      </c>
      <c r="G9" s="30">
        <f t="shared" ref="G9:G30" si="1">D9/F9*1000</f>
        <v>102.70053573380953</v>
      </c>
    </row>
    <row r="10" spans="2:7" s="7" customFormat="1" ht="20.25" customHeight="1" x14ac:dyDescent="0.2">
      <c r="B10" s="8" t="s">
        <v>4</v>
      </c>
      <c r="C10" s="1">
        <v>4102424256.1045113</v>
      </c>
      <c r="D10" s="2">
        <v>130135</v>
      </c>
      <c r="E10" s="2">
        <f t="shared" si="0"/>
        <v>2424951.7548962533</v>
      </c>
      <c r="F10" s="3">
        <v>3957565</v>
      </c>
      <c r="G10" s="30">
        <f t="shared" si="1"/>
        <v>32.882593210724274</v>
      </c>
    </row>
    <row r="11" spans="2:7" s="7" customFormat="1" ht="20.25" customHeight="1" x14ac:dyDescent="0.2">
      <c r="B11" s="8" t="s">
        <v>5</v>
      </c>
      <c r="C11" s="1">
        <v>1478960670</v>
      </c>
      <c r="D11" s="2">
        <v>60902</v>
      </c>
      <c r="E11" s="2">
        <f t="shared" si="0"/>
        <v>1868020.8430694458</v>
      </c>
      <c r="F11" s="3">
        <v>1203905</v>
      </c>
      <c r="G11" s="30">
        <f t="shared" si="1"/>
        <v>50.587047981360655</v>
      </c>
    </row>
    <row r="12" spans="2:7" s="9" customFormat="1" ht="20.25" customHeight="1" x14ac:dyDescent="0.2">
      <c r="B12" s="10" t="s">
        <v>6</v>
      </c>
      <c r="C12" s="1">
        <v>2080866698.3242328</v>
      </c>
      <c r="D12" s="2">
        <v>82012</v>
      </c>
      <c r="E12" s="2">
        <f>C12/D12/13*1000</f>
        <v>1951746.9285209978</v>
      </c>
      <c r="F12" s="3">
        <v>1207608</v>
      </c>
      <c r="G12" s="30">
        <f t="shared" si="1"/>
        <v>67.912766394392875</v>
      </c>
    </row>
    <row r="13" spans="2:7" s="9" customFormat="1" ht="20.25" customHeight="1" x14ac:dyDescent="0.2">
      <c r="B13" s="10" t="s">
        <v>7</v>
      </c>
      <c r="C13" s="1">
        <v>1595360014.5881002</v>
      </c>
      <c r="D13" s="2">
        <v>47304</v>
      </c>
      <c r="E13" s="2">
        <f t="shared" si="0"/>
        <v>2594283.8052207329</v>
      </c>
      <c r="F13" s="3">
        <v>602348</v>
      </c>
      <c r="G13" s="30">
        <f t="shared" si="1"/>
        <v>78.532675463353414</v>
      </c>
    </row>
    <row r="14" spans="2:7" s="9" customFormat="1" ht="20.25" customHeight="1" x14ac:dyDescent="0.2">
      <c r="B14" s="10" t="s">
        <v>8</v>
      </c>
      <c r="C14" s="1">
        <v>2241407459.0134506</v>
      </c>
      <c r="D14" s="2">
        <v>87660</v>
      </c>
      <c r="E14" s="2">
        <f t="shared" si="0"/>
        <v>1966871.5307511983</v>
      </c>
      <c r="F14" s="3">
        <v>1459182</v>
      </c>
      <c r="G14" s="30">
        <f t="shared" si="1"/>
        <v>60.074754211606226</v>
      </c>
    </row>
    <row r="15" spans="2:7" s="7" customFormat="1" ht="20.25" customHeight="1" x14ac:dyDescent="0.2">
      <c r="B15" s="8" t="s">
        <v>9</v>
      </c>
      <c r="C15" s="1">
        <v>1104465552.51928</v>
      </c>
      <c r="D15" s="2">
        <v>42050</v>
      </c>
      <c r="E15" s="2">
        <f t="shared" si="0"/>
        <v>2020425.4139198388</v>
      </c>
      <c r="F15" s="3">
        <v>626649</v>
      </c>
      <c r="G15" s="30">
        <f t="shared" si="1"/>
        <v>67.102955562045096</v>
      </c>
    </row>
    <row r="16" spans="2:7" s="7" customFormat="1" ht="20.25" customHeight="1" x14ac:dyDescent="0.2">
      <c r="B16" s="8" t="s">
        <v>10</v>
      </c>
      <c r="C16" s="1">
        <v>1153734885.2763903</v>
      </c>
      <c r="D16" s="2">
        <v>67124</v>
      </c>
      <c r="E16" s="2">
        <f t="shared" si="0"/>
        <v>1322162.5250127094</v>
      </c>
      <c r="F16" s="3">
        <v>800744</v>
      </c>
      <c r="G16" s="30">
        <f t="shared" si="1"/>
        <v>83.827040852007642</v>
      </c>
    </row>
    <row r="17" spans="2:7" s="7" customFormat="1" ht="20.25" customHeight="1" x14ac:dyDescent="0.2">
      <c r="B17" s="8" t="s">
        <v>46</v>
      </c>
      <c r="C17" s="1">
        <v>795722223.33546984</v>
      </c>
      <c r="D17" s="2">
        <v>29855</v>
      </c>
      <c r="E17" s="2">
        <f t="shared" si="0"/>
        <v>2050222.8033842284</v>
      </c>
      <c r="F17" s="3">
        <v>376794</v>
      </c>
      <c r="G17" s="30">
        <f t="shared" si="1"/>
        <v>79.234276554297566</v>
      </c>
    </row>
    <row r="18" spans="2:7" s="7" customFormat="1" ht="20.25" customHeight="1" x14ac:dyDescent="0.2">
      <c r="B18" s="8" t="s">
        <v>11</v>
      </c>
      <c r="C18" s="1">
        <v>705692524.14411438</v>
      </c>
      <c r="D18" s="2">
        <v>44302</v>
      </c>
      <c r="E18" s="2">
        <f t="shared" si="0"/>
        <v>1225318.0515276517</v>
      </c>
      <c r="F18" s="3">
        <v>403577</v>
      </c>
      <c r="G18" s="30">
        <f t="shared" si="1"/>
        <v>109.77335180151496</v>
      </c>
    </row>
    <row r="19" spans="2:7" s="7" customFormat="1" ht="20.25" customHeight="1" x14ac:dyDescent="0.2">
      <c r="B19" s="8" t="s">
        <v>12</v>
      </c>
      <c r="C19" s="2">
        <v>1989593061.0859907</v>
      </c>
      <c r="D19" s="2">
        <v>89781</v>
      </c>
      <c r="E19" s="2">
        <f t="shared" si="0"/>
        <v>1704654.8833666116</v>
      </c>
      <c r="F19" s="3">
        <v>2047181</v>
      </c>
      <c r="G19" s="30">
        <f t="shared" si="1"/>
        <v>43.855916990241703</v>
      </c>
    </row>
    <row r="20" spans="2:7" s="7" customFormat="1" ht="20.25" customHeight="1" x14ac:dyDescent="0.2">
      <c r="B20" s="8" t="s">
        <v>13</v>
      </c>
      <c r="C20" s="1">
        <v>1413239055.3328199</v>
      </c>
      <c r="D20" s="2">
        <v>68308</v>
      </c>
      <c r="E20" s="2">
        <f t="shared" si="0"/>
        <v>1591478.2538511313</v>
      </c>
      <c r="F20" s="3">
        <v>1344368</v>
      </c>
      <c r="G20" s="30">
        <f t="shared" si="1"/>
        <v>50.810492365185723</v>
      </c>
    </row>
    <row r="21" spans="2:7" s="7" customFormat="1" ht="20.25" customHeight="1" x14ac:dyDescent="0.2">
      <c r="B21" s="8" t="s">
        <v>14</v>
      </c>
      <c r="C21" s="1">
        <v>3694018739.4402852</v>
      </c>
      <c r="D21" s="2">
        <v>79839</v>
      </c>
      <c r="E21" s="2">
        <f t="shared" si="0"/>
        <v>3559103.7919970527</v>
      </c>
      <c r="F21" s="3">
        <v>702816</v>
      </c>
      <c r="G21" s="30">
        <f t="shared" si="1"/>
        <v>113.59872285206939</v>
      </c>
    </row>
    <row r="22" spans="2:7" s="9" customFormat="1" ht="20.25" customHeight="1" x14ac:dyDescent="0.2">
      <c r="B22" s="10" t="s">
        <v>15</v>
      </c>
      <c r="C22" s="1">
        <v>1634967360</v>
      </c>
      <c r="D22" s="2">
        <v>60457</v>
      </c>
      <c r="E22" s="2">
        <f t="shared" si="0"/>
        <v>2080267.2974179995</v>
      </c>
      <c r="F22" s="3">
        <v>788658</v>
      </c>
      <c r="G22" s="30">
        <f t="shared" si="1"/>
        <v>76.658069784367868</v>
      </c>
    </row>
    <row r="23" spans="2:7" s="7" customFormat="1" ht="20.25" customHeight="1" x14ac:dyDescent="0.2">
      <c r="B23" s="8" t="s">
        <v>26</v>
      </c>
      <c r="C23" s="1">
        <v>1828130952.6870499</v>
      </c>
      <c r="D23" s="2">
        <v>72396</v>
      </c>
      <c r="E23" s="2">
        <f t="shared" si="0"/>
        <v>1942447.8962788528</v>
      </c>
      <c r="F23" s="3">
        <v>1486517</v>
      </c>
      <c r="G23" s="30">
        <f t="shared" si="1"/>
        <v>48.70176392197331</v>
      </c>
    </row>
    <row r="24" spans="2:7" s="7" customFormat="1" ht="20.25" customHeight="1" x14ac:dyDescent="0.2">
      <c r="B24" s="8" t="s">
        <v>17</v>
      </c>
      <c r="C24" s="1">
        <v>1292761800.5804098</v>
      </c>
      <c r="D24" s="2">
        <v>49037</v>
      </c>
      <c r="E24" s="2">
        <f t="shared" si="0"/>
        <v>2027922.0880001283</v>
      </c>
      <c r="F24" s="3">
        <v>849117</v>
      </c>
      <c r="G24" s="30">
        <f>D24/F24*1000</f>
        <v>57.750580897567708</v>
      </c>
    </row>
    <row r="25" spans="2:7" s="7" customFormat="1" ht="20.25" customHeight="1" x14ac:dyDescent="0.2">
      <c r="B25" s="8" t="s">
        <v>45</v>
      </c>
      <c r="C25" s="1">
        <v>694653522.95901</v>
      </c>
      <c r="D25" s="2">
        <v>39278</v>
      </c>
      <c r="E25" s="2">
        <f t="shared" si="0"/>
        <v>1360427.8828214856</v>
      </c>
      <c r="F25" s="3">
        <v>536173</v>
      </c>
      <c r="G25" s="30">
        <f t="shared" si="1"/>
        <v>73.256206485593268</v>
      </c>
    </row>
    <row r="26" spans="2:7" s="7" customFormat="1" ht="20.25" customHeight="1" x14ac:dyDescent="0.2">
      <c r="B26" s="8" t="s">
        <v>18</v>
      </c>
      <c r="C26" s="1">
        <v>1234375009.7010002</v>
      </c>
      <c r="D26" s="2">
        <v>35859</v>
      </c>
      <c r="E26" s="2">
        <f>C26/D26/13*1000</f>
        <v>2647924.4770672321</v>
      </c>
      <c r="F26" s="3">
        <v>334953</v>
      </c>
      <c r="G26" s="30">
        <f t="shared" si="1"/>
        <v>107.0568109555669</v>
      </c>
    </row>
    <row r="27" spans="2:7" s="9" customFormat="1" ht="20.25" customHeight="1" x14ac:dyDescent="0.2">
      <c r="B27" s="8" t="s">
        <v>19</v>
      </c>
      <c r="C27" s="1">
        <v>4517787450</v>
      </c>
      <c r="D27" s="2">
        <v>152870</v>
      </c>
      <c r="E27" s="2">
        <f t="shared" si="0"/>
        <v>2273317.9272483913</v>
      </c>
      <c r="F27" s="3">
        <v>3684529</v>
      </c>
      <c r="G27" s="30">
        <f t="shared" si="1"/>
        <v>41.489699226142612</v>
      </c>
    </row>
    <row r="28" spans="2:7" s="7" customFormat="1" ht="20.25" customHeight="1" x14ac:dyDescent="0.2">
      <c r="B28" s="8" t="s">
        <v>34</v>
      </c>
      <c r="C28" s="1">
        <v>1111302000</v>
      </c>
      <c r="D28" s="2">
        <v>54455</v>
      </c>
      <c r="E28" s="2">
        <f t="shared" si="0"/>
        <v>1569824.0607982597</v>
      </c>
      <c r="F28" s="3">
        <v>1056774</v>
      </c>
      <c r="G28" s="30">
        <f t="shared" si="1"/>
        <v>51.529466092087809</v>
      </c>
    </row>
    <row r="29" spans="2:7" s="7" customFormat="1" ht="20.25" customHeight="1" x14ac:dyDescent="0.2">
      <c r="B29" s="8" t="s">
        <v>20</v>
      </c>
      <c r="C29" s="1">
        <v>2252687536</v>
      </c>
      <c r="D29" s="2">
        <v>93630</v>
      </c>
      <c r="E29" s="2">
        <f t="shared" si="0"/>
        <v>1850727.9356550744</v>
      </c>
      <c r="F29" s="3">
        <v>1773567</v>
      </c>
      <c r="G29" s="30">
        <f t="shared" si="1"/>
        <v>52.791915952428077</v>
      </c>
    </row>
    <row r="30" spans="2:7" s="7" customFormat="1" ht="20.25" customHeight="1" thickBot="1" x14ac:dyDescent="0.25">
      <c r="B30" s="8" t="s">
        <v>33</v>
      </c>
      <c r="C30" s="2">
        <v>868210193.6163137</v>
      </c>
      <c r="D30" s="2">
        <v>25422</v>
      </c>
      <c r="E30" s="2">
        <f t="shared" si="0"/>
        <v>2627071.0215147198</v>
      </c>
      <c r="F30" s="3">
        <v>182003</v>
      </c>
      <c r="G30" s="30">
        <f t="shared" si="1"/>
        <v>139.67901627995144</v>
      </c>
    </row>
    <row r="31" spans="2:7" s="11" customFormat="1" ht="26.25" customHeight="1" thickBot="1" x14ac:dyDescent="0.25">
      <c r="B31" s="26" t="s">
        <v>21</v>
      </c>
      <c r="C31" s="27">
        <f>SUM(C7:C30)</f>
        <v>59302995426.537102</v>
      </c>
      <c r="D31" s="27">
        <f>SUM(D7:D30)</f>
        <v>2308763</v>
      </c>
      <c r="E31" s="27">
        <f t="shared" ref="E31" si="2">C31/D31/13*1000</f>
        <v>1975849.7857789614</v>
      </c>
      <c r="F31" s="28">
        <f>+SUM(F7:F30)</f>
        <v>46387098</v>
      </c>
      <c r="G31" s="31">
        <f t="shared" ref="G31" si="3">D31/F31*1000</f>
        <v>49.771662801583325</v>
      </c>
    </row>
    <row r="32" spans="2:7" ht="8.25" customHeight="1" x14ac:dyDescent="0.2">
      <c r="B32" s="12"/>
      <c r="E32" s="13"/>
      <c r="G32" s="14"/>
    </row>
    <row r="33" spans="1:7" x14ac:dyDescent="0.2">
      <c r="B33" s="40" t="s">
        <v>43</v>
      </c>
      <c r="C33" s="40"/>
      <c r="D33" s="40"/>
      <c r="E33" s="40"/>
      <c r="F33" s="40"/>
      <c r="G33" s="40"/>
    </row>
    <row r="34" spans="1:7" x14ac:dyDescent="0.2">
      <c r="A34" s="15"/>
      <c r="B34" s="34" t="s">
        <v>44</v>
      </c>
      <c r="C34" s="34"/>
      <c r="D34" s="34"/>
      <c r="E34" s="34"/>
      <c r="F34" s="34"/>
      <c r="G34" s="34"/>
    </row>
    <row r="35" spans="1:7" x14ac:dyDescent="0.2">
      <c r="A35" s="15"/>
      <c r="B35" s="34"/>
      <c r="C35" s="34"/>
      <c r="D35" s="34"/>
      <c r="E35" s="34"/>
      <c r="F35" s="34"/>
      <c r="G35" s="34"/>
    </row>
    <row r="36" spans="1:7" x14ac:dyDescent="0.2">
      <c r="A36" s="15"/>
      <c r="B36" s="32" t="s">
        <v>51</v>
      </c>
      <c r="C36" s="29"/>
      <c r="D36" s="29"/>
      <c r="E36" s="29"/>
      <c r="F36" s="29"/>
      <c r="G36" s="29"/>
    </row>
    <row r="37" spans="1:7" x14ac:dyDescent="0.2">
      <c r="B37" s="39" t="s">
        <v>32</v>
      </c>
      <c r="C37" s="39"/>
      <c r="D37" s="39"/>
      <c r="E37" s="39"/>
      <c r="F37" s="39"/>
      <c r="G37" s="39"/>
    </row>
    <row r="38" spans="1:7" x14ac:dyDescent="0.2">
      <c r="B38" s="34"/>
      <c r="C38" s="34"/>
      <c r="D38" s="34"/>
      <c r="E38" s="34"/>
      <c r="F38" s="34"/>
      <c r="G38" s="34"/>
    </row>
    <row r="39" spans="1:7" x14ac:dyDescent="0.2">
      <c r="B39" s="34"/>
      <c r="C39" s="34"/>
      <c r="D39" s="34"/>
      <c r="E39" s="34"/>
      <c r="F39" s="34"/>
      <c r="G39" s="34"/>
    </row>
    <row r="40" spans="1:7" x14ac:dyDescent="0.2">
      <c r="B40" s="34"/>
      <c r="C40" s="34"/>
      <c r="D40" s="34"/>
      <c r="E40" s="34"/>
      <c r="F40" s="34"/>
      <c r="G40" s="34"/>
    </row>
    <row r="41" spans="1:7" x14ac:dyDescent="0.2">
      <c r="B41" s="34"/>
      <c r="C41" s="34"/>
      <c r="D41" s="34"/>
      <c r="E41" s="34"/>
      <c r="F41" s="34"/>
      <c r="G41" s="34"/>
    </row>
    <row r="42" spans="1:7" x14ac:dyDescent="0.2">
      <c r="B42" s="34"/>
      <c r="C42" s="34"/>
      <c r="D42" s="34"/>
      <c r="E42" s="34"/>
      <c r="F42" s="34"/>
      <c r="G42" s="34"/>
    </row>
  </sheetData>
  <mergeCells count="13">
    <mergeCell ref="B34:G34"/>
    <mergeCell ref="B1:G1"/>
    <mergeCell ref="B2:G2"/>
    <mergeCell ref="B3:G3"/>
    <mergeCell ref="B4:G4"/>
    <mergeCell ref="B33:G33"/>
    <mergeCell ref="B42:G42"/>
    <mergeCell ref="B35:G35"/>
    <mergeCell ref="B37:G37"/>
    <mergeCell ref="B38:G38"/>
    <mergeCell ref="B39:G39"/>
    <mergeCell ref="B40:G40"/>
    <mergeCell ref="B41:G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MECON</dc:creator>
  <cp:lastModifiedBy>ftomas@provincias.mecon.ar</cp:lastModifiedBy>
  <dcterms:created xsi:type="dcterms:W3CDTF">2006-05-16T15:49:33Z</dcterms:created>
  <dcterms:modified xsi:type="dcterms:W3CDTF">2026-10-07T18:19:01Z</dcterms:modified>
</cp:coreProperties>
</file>